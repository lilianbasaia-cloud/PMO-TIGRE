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potpromo.sharepoint.com/sites/bko.lbasaia/Documentos Compartilhados/PMO/"/>
    </mc:Choice>
  </mc:AlternateContent>
  <xr:revisionPtr revIDLastSave="71" documentId="11_5ADD6FC54B2B8E54AD4D71E86EB79BC845F6E1CF" xr6:coauthVersionLast="47" xr6:coauthVersionMax="47" xr10:uidLastSave="{9B904B62-F2F2-4A97-8D77-53C7616698D2}"/>
  <bookViews>
    <workbookView xWindow="-108" yWindow="-108" windowWidth="23256" windowHeight="12456" xr2:uid="{00000000-000D-0000-FFFF-FFFF00000000}"/>
  </bookViews>
  <sheets>
    <sheet name="PMO - PROJETO " sheetId="1" r:id="rId1"/>
  </sheets>
  <definedNames>
    <definedName name="_xlnm._FilterDatabase" localSheetId="0" hidden="1">'PMO - PROJETO '!$B$4:$N$131</definedName>
    <definedName name="Início_do_projeto">#REF!</definedName>
    <definedName name="Semana_de_exibição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1" i="1" l="1"/>
  <c r="K131" i="1"/>
  <c r="L6" i="1"/>
  <c r="M6" i="1" s="1"/>
  <c r="L7" i="1"/>
  <c r="M7" i="1" s="1"/>
  <c r="L8" i="1"/>
  <c r="M8" i="1" s="1"/>
  <c r="L9" i="1"/>
  <c r="M9" i="1" s="1"/>
  <c r="L10" i="1"/>
  <c r="M10" i="1" s="1"/>
  <c r="L11" i="1"/>
  <c r="M11" i="1" s="1"/>
  <c r="L12" i="1"/>
  <c r="M12" i="1" s="1"/>
  <c r="L13" i="1"/>
  <c r="M13" i="1" s="1"/>
  <c r="L14" i="1"/>
  <c r="M14" i="1" s="1"/>
  <c r="L15" i="1"/>
  <c r="M15" i="1" s="1"/>
  <c r="L16" i="1"/>
  <c r="M16" i="1" s="1"/>
  <c r="L17" i="1"/>
  <c r="M17" i="1" s="1"/>
  <c r="L18" i="1"/>
  <c r="M18" i="1" s="1"/>
  <c r="L19" i="1"/>
  <c r="M19" i="1" s="1"/>
  <c r="L20" i="1"/>
  <c r="M20" i="1" s="1"/>
  <c r="L21" i="1"/>
  <c r="M21" i="1" s="1"/>
  <c r="L22" i="1"/>
  <c r="M22" i="1" s="1"/>
  <c r="L23" i="1"/>
  <c r="M23" i="1" s="1"/>
  <c r="L24" i="1"/>
  <c r="M24" i="1" s="1"/>
  <c r="L25" i="1"/>
  <c r="M25" i="1" s="1"/>
  <c r="L26" i="1"/>
  <c r="M26" i="1" s="1"/>
  <c r="L27" i="1"/>
  <c r="M27" i="1" s="1"/>
  <c r="L28" i="1"/>
  <c r="M28" i="1" s="1"/>
  <c r="L29" i="1"/>
  <c r="M29" i="1" s="1"/>
  <c r="L30" i="1"/>
  <c r="M30" i="1" s="1"/>
  <c r="L31" i="1"/>
  <c r="M31" i="1" s="1"/>
  <c r="L32" i="1"/>
  <c r="M32" i="1" s="1"/>
  <c r="L33" i="1"/>
  <c r="M33" i="1" s="1"/>
  <c r="L34" i="1"/>
  <c r="M34" i="1" s="1"/>
  <c r="L35" i="1"/>
  <c r="M35" i="1" s="1"/>
  <c r="L36" i="1"/>
  <c r="M36" i="1" s="1"/>
  <c r="L37" i="1"/>
  <c r="M37" i="1" s="1"/>
  <c r="L38" i="1"/>
  <c r="M38" i="1" s="1"/>
  <c r="L39" i="1"/>
  <c r="M39" i="1" s="1"/>
  <c r="L40" i="1"/>
  <c r="M40" i="1" s="1"/>
  <c r="L41" i="1"/>
  <c r="M41" i="1" s="1"/>
  <c r="L42" i="1"/>
  <c r="M42" i="1" s="1"/>
  <c r="L43" i="1"/>
  <c r="M43" i="1" s="1"/>
  <c r="L44" i="1"/>
  <c r="M44" i="1" s="1"/>
  <c r="L45" i="1"/>
  <c r="M45" i="1" s="1"/>
  <c r="L46" i="1"/>
  <c r="M46" i="1" s="1"/>
  <c r="L47" i="1"/>
  <c r="M47" i="1" s="1"/>
  <c r="L48" i="1"/>
  <c r="M48" i="1" s="1"/>
  <c r="L49" i="1"/>
  <c r="M49" i="1" s="1"/>
  <c r="L50" i="1"/>
  <c r="M50" i="1" s="1"/>
  <c r="L51" i="1"/>
  <c r="M51" i="1" s="1"/>
  <c r="L52" i="1"/>
  <c r="M52" i="1" s="1"/>
  <c r="L53" i="1"/>
  <c r="M53" i="1" s="1"/>
  <c r="L54" i="1"/>
  <c r="M54" i="1" s="1"/>
  <c r="L55" i="1"/>
  <c r="M55" i="1" s="1"/>
  <c r="L56" i="1"/>
  <c r="M56" i="1" s="1"/>
  <c r="L57" i="1"/>
  <c r="M57" i="1" s="1"/>
  <c r="L58" i="1"/>
  <c r="M58" i="1" s="1"/>
  <c r="L59" i="1"/>
  <c r="M59" i="1" s="1"/>
  <c r="L60" i="1"/>
  <c r="M60" i="1" s="1"/>
  <c r="L61" i="1"/>
  <c r="M61" i="1" s="1"/>
  <c r="L62" i="1"/>
  <c r="M62" i="1" s="1"/>
  <c r="L63" i="1"/>
  <c r="M63" i="1" s="1"/>
  <c r="L64" i="1"/>
  <c r="M64" i="1" s="1"/>
  <c r="L65" i="1"/>
  <c r="M65" i="1" s="1"/>
  <c r="L66" i="1"/>
  <c r="M66" i="1" s="1"/>
  <c r="L67" i="1"/>
  <c r="L68" i="1"/>
  <c r="M68" i="1" s="1"/>
  <c r="L69" i="1"/>
  <c r="M69" i="1" s="1"/>
  <c r="L70" i="1"/>
  <c r="M70" i="1" s="1"/>
  <c r="L71" i="1"/>
  <c r="M71" i="1" s="1"/>
  <c r="L72" i="1"/>
  <c r="M72" i="1" s="1"/>
  <c r="L73" i="1"/>
  <c r="M73" i="1" s="1"/>
  <c r="L74" i="1"/>
  <c r="L75" i="1"/>
  <c r="L76" i="1"/>
  <c r="M76" i="1" s="1"/>
  <c r="L77" i="1"/>
  <c r="M77" i="1" s="1"/>
  <c r="L78" i="1"/>
  <c r="L79" i="1"/>
  <c r="L80" i="1"/>
  <c r="M80" i="1" s="1"/>
  <c r="L81" i="1"/>
  <c r="M81" i="1" s="1"/>
  <c r="L82" i="1"/>
  <c r="K82" i="1" s="1"/>
  <c r="L83" i="1"/>
  <c r="M83" i="1" s="1"/>
  <c r="L84" i="1"/>
  <c r="K84" i="1" s="1"/>
  <c r="L85" i="1"/>
  <c r="M85" i="1" s="1"/>
  <c r="L86" i="1"/>
  <c r="K86" i="1" s="1"/>
  <c r="L87" i="1"/>
  <c r="M87" i="1" s="1"/>
  <c r="L88" i="1"/>
  <c r="M88" i="1" s="1"/>
  <c r="L89" i="1"/>
  <c r="K89" i="1" s="1"/>
  <c r="L90" i="1"/>
  <c r="M90" i="1" s="1"/>
  <c r="L91" i="1"/>
  <c r="M91" i="1" s="1"/>
  <c r="L92" i="1"/>
  <c r="K92" i="1" s="1"/>
  <c r="L93" i="1"/>
  <c r="M93" i="1" s="1"/>
  <c r="L94" i="1"/>
  <c r="M94" i="1" s="1"/>
  <c r="L95" i="1"/>
  <c r="M95" i="1" s="1"/>
  <c r="L96" i="1"/>
  <c r="K96" i="1" s="1"/>
  <c r="L97" i="1"/>
  <c r="M97" i="1" s="1"/>
  <c r="L98" i="1"/>
  <c r="M98" i="1" s="1"/>
  <c r="L99" i="1"/>
  <c r="M99" i="1" s="1"/>
  <c r="L100" i="1"/>
  <c r="K100" i="1" s="1"/>
  <c r="L101" i="1"/>
  <c r="M101" i="1" s="1"/>
  <c r="L102" i="1"/>
  <c r="M102" i="1" s="1"/>
  <c r="L103" i="1"/>
  <c r="M103" i="1" s="1"/>
  <c r="L104" i="1"/>
  <c r="L105" i="1"/>
  <c r="L106" i="1"/>
  <c r="L107" i="1"/>
  <c r="L108" i="1"/>
  <c r="K108" i="1" s="1"/>
  <c r="L109" i="1"/>
  <c r="M109" i="1" s="1"/>
  <c r="L110" i="1"/>
  <c r="K110" i="1" s="1"/>
  <c r="L111" i="1"/>
  <c r="M111" i="1" s="1"/>
  <c r="L112" i="1"/>
  <c r="M112" i="1" s="1"/>
  <c r="L113" i="1"/>
  <c r="K113" i="1" s="1"/>
  <c r="L114" i="1"/>
  <c r="K114" i="1" s="1"/>
  <c r="L115" i="1"/>
  <c r="K115" i="1" s="1"/>
  <c r="L116" i="1"/>
  <c r="K116" i="1" s="1"/>
  <c r="L117" i="1"/>
  <c r="K117" i="1" s="1"/>
  <c r="L118" i="1"/>
  <c r="K118" i="1" s="1"/>
  <c r="L119" i="1"/>
  <c r="K119" i="1" s="1"/>
  <c r="L120" i="1"/>
  <c r="K120" i="1" s="1"/>
  <c r="L121" i="1"/>
  <c r="K121" i="1" s="1"/>
  <c r="L122" i="1"/>
  <c r="K122" i="1" s="1"/>
  <c r="L123" i="1"/>
  <c r="K123" i="1" s="1"/>
  <c r="L124" i="1"/>
  <c r="L125" i="1"/>
  <c r="K125" i="1" s="1"/>
  <c r="L126" i="1"/>
  <c r="K126" i="1" s="1"/>
  <c r="L127" i="1"/>
  <c r="L128" i="1"/>
  <c r="L129" i="1"/>
  <c r="K129" i="1" s="1"/>
  <c r="L130" i="1"/>
  <c r="K130" i="1" s="1"/>
  <c r="K79" i="1"/>
  <c r="K78" i="1"/>
  <c r="K75" i="1"/>
  <c r="K74" i="1"/>
  <c r="M67" i="1"/>
  <c r="M107" i="1"/>
  <c r="M106" i="1"/>
  <c r="M105" i="1"/>
  <c r="K104" i="1"/>
  <c r="L5" i="1"/>
  <c r="M5" i="1" s="1"/>
  <c r="M127" i="1" l="1"/>
  <c r="K127" i="1"/>
  <c r="M128" i="1"/>
  <c r="K128" i="1"/>
  <c r="M124" i="1"/>
  <c r="K124" i="1"/>
  <c r="K88" i="1"/>
  <c r="K81" i="1"/>
  <c r="K77" i="1"/>
  <c r="K72" i="1"/>
  <c r="K80" i="1"/>
  <c r="K109" i="1"/>
  <c r="K111" i="1"/>
  <c r="K112" i="1"/>
  <c r="K76" i="1"/>
  <c r="K49" i="1"/>
  <c r="K61" i="1"/>
  <c r="K40" i="1"/>
  <c r="K31" i="1"/>
  <c r="K64" i="1"/>
  <c r="K23" i="1"/>
  <c r="K41" i="1"/>
  <c r="K33" i="1"/>
  <c r="K5" i="1"/>
  <c r="K17" i="1"/>
  <c r="K55" i="1"/>
  <c r="K15" i="1"/>
  <c r="K7" i="1"/>
  <c r="K12" i="1"/>
  <c r="K57" i="1"/>
  <c r="K73" i="1"/>
  <c r="K10" i="1"/>
  <c r="K28" i="1"/>
  <c r="K35" i="1"/>
  <c r="K42" i="1"/>
  <c r="K51" i="1"/>
  <c r="K83" i="1"/>
  <c r="K29" i="1"/>
  <c r="K36" i="1"/>
  <c r="K43" i="1"/>
  <c r="K52" i="1"/>
  <c r="K69" i="1"/>
  <c r="K13" i="1"/>
  <c r="K22" i="1"/>
  <c r="K30" i="1"/>
  <c r="K37" i="1"/>
  <c r="K53" i="1"/>
  <c r="K16" i="1"/>
  <c r="K24" i="1"/>
  <c r="K39" i="1"/>
  <c r="K46" i="1"/>
  <c r="K70" i="1"/>
  <c r="K9" i="1"/>
  <c r="K54" i="1"/>
  <c r="K11" i="1"/>
  <c r="K18" i="1"/>
  <c r="K48" i="1"/>
  <c r="K63" i="1"/>
  <c r="K6" i="1"/>
  <c r="K25" i="1"/>
  <c r="K45" i="1"/>
  <c r="K58" i="1"/>
  <c r="K71" i="1"/>
  <c r="K19" i="1"/>
  <c r="K65" i="1"/>
  <c r="K59" i="1"/>
  <c r="K85" i="1"/>
  <c r="K27" i="1"/>
  <c r="K66" i="1"/>
  <c r="K8" i="1"/>
  <c r="K21" i="1"/>
  <c r="K34" i="1"/>
  <c r="K47" i="1"/>
  <c r="K60" i="1"/>
  <c r="K14" i="1"/>
  <c r="K20" i="1"/>
  <c r="K26" i="1"/>
  <c r="K32" i="1"/>
  <c r="K38" i="1"/>
  <c r="K44" i="1"/>
  <c r="K50" i="1"/>
  <c r="K56" i="1"/>
  <c r="K62" i="1"/>
  <c r="K68" i="1"/>
  <c r="K87" i="1"/>
  <c r="M92" i="1"/>
  <c r="M96" i="1"/>
  <c r="M100" i="1"/>
  <c r="M104" i="1"/>
  <c r="M84" i="1"/>
  <c r="K93" i="1"/>
  <c r="K97" i="1"/>
  <c r="K101" i="1"/>
  <c r="K105" i="1"/>
  <c r="K90" i="1"/>
  <c r="K94" i="1"/>
  <c r="K98" i="1"/>
  <c r="K102" i="1"/>
  <c r="K106" i="1"/>
  <c r="M82" i="1"/>
  <c r="M86" i="1"/>
  <c r="K91" i="1"/>
  <c r="K95" i="1"/>
  <c r="K99" i="1"/>
  <c r="K103" i="1"/>
  <c r="K107" i="1"/>
  <c r="K67" i="1"/>
</calcChain>
</file>

<file path=xl/sharedStrings.xml><?xml version="1.0" encoding="utf-8"?>
<sst xmlns="http://schemas.openxmlformats.org/spreadsheetml/2006/main" count="913" uniqueCount="124">
  <si>
    <t>SPOTPROMO</t>
  </si>
  <si>
    <t>PMO - GERAL</t>
  </si>
  <si>
    <t xml:space="preserve">TEMA </t>
  </si>
  <si>
    <t>ATIVIDADES</t>
  </si>
  <si>
    <t>MÊS REFERENCIA</t>
  </si>
  <si>
    <t>RESPONSÁVEL MICRO</t>
  </si>
  <si>
    <t>RECORRENCIA</t>
  </si>
  <si>
    <t>STATUS</t>
  </si>
  <si>
    <t>INÍCIO</t>
  </si>
  <si>
    <t>TÉRMINO</t>
  </si>
  <si>
    <t>DATA CONCLUSÃO</t>
  </si>
  <si>
    <t>DIAS</t>
  </si>
  <si>
    <t>STATUS GERAL</t>
  </si>
  <si>
    <t>!</t>
  </si>
  <si>
    <t>COMENTÁRIOS / OBSERVAÇÕES</t>
  </si>
  <si>
    <t>ADMINISTRATIVO</t>
  </si>
  <si>
    <t>Follow Up de Vagas</t>
  </si>
  <si>
    <t>MARÇO</t>
  </si>
  <si>
    <t>DIOGO</t>
  </si>
  <si>
    <t>SEMANAL</t>
  </si>
  <si>
    <t>FINALIZADO</t>
  </si>
  <si>
    <t>Resumo de Vagas - Ativas, Abertas, férias, desligados</t>
  </si>
  <si>
    <t>Hospedagens</t>
  </si>
  <si>
    <t>Solicitação de Hospedagens</t>
  </si>
  <si>
    <t>Reembolso de KM</t>
  </si>
  <si>
    <t>MENSAL</t>
  </si>
  <si>
    <t>Calculo e Lançamento de Reembolso de KM - Veiculos proprios</t>
  </si>
  <si>
    <t>Taxa de coligada</t>
  </si>
  <si>
    <t>Lançamento de Taxa de Coligada</t>
  </si>
  <si>
    <t xml:space="preserve">Férias </t>
  </si>
  <si>
    <t>Validação e Programação</t>
  </si>
  <si>
    <t>Afastamento</t>
  </si>
  <si>
    <t>Afastamento de Day off e Feriados Regionais</t>
  </si>
  <si>
    <t xml:space="preserve">Executiva </t>
  </si>
  <si>
    <t>NÃO SE APLICA</t>
  </si>
  <si>
    <t>Atualização Executiva</t>
  </si>
  <si>
    <t>NÃO INCIADO</t>
  </si>
  <si>
    <t>Pesquisa de Clima</t>
  </si>
  <si>
    <t>SEMESTRAL</t>
  </si>
  <si>
    <t>Fechamento e resumo da Pesquisa de Clima</t>
  </si>
  <si>
    <t>Variavel Supervisores</t>
  </si>
  <si>
    <t>Pagamento Variavel Supervisores</t>
  </si>
  <si>
    <t>Validação de Temporario para CLT</t>
  </si>
  <si>
    <t>Validação se colaboradores TMP serão Efetivdos</t>
  </si>
  <si>
    <t>Lançamento de AJC</t>
  </si>
  <si>
    <t>Lançamento de AJC e KM inicial</t>
  </si>
  <si>
    <t>INFORMAÇÃO</t>
  </si>
  <si>
    <t>Mapeamento de Carreira</t>
  </si>
  <si>
    <t>VINICIUS</t>
  </si>
  <si>
    <t>Fechamento e resumo do Mapeamento de Carreira</t>
  </si>
  <si>
    <t>Importação de Roteiro</t>
  </si>
  <si>
    <t>Import Roteiro</t>
  </si>
  <si>
    <t>Relatorio de Ponto Extra</t>
  </si>
  <si>
    <t>Atualização Relatorio de Ponto Extra - Com analises</t>
  </si>
  <si>
    <t>Custo de Servir</t>
  </si>
  <si>
    <t>Envio Custo de Servir</t>
  </si>
  <si>
    <t>KPI Supervisores</t>
  </si>
  <si>
    <t>Revisão e Atualização de Dash</t>
  </si>
  <si>
    <t>Revisão e Atualização de Dashs</t>
  </si>
  <si>
    <t>Desenvolvimento Dash - One Page</t>
  </si>
  <si>
    <t>PONTUAL</t>
  </si>
  <si>
    <t xml:space="preserve">Desenvolvimento Dashboard One Page </t>
  </si>
  <si>
    <t>OPERACIONAL</t>
  </si>
  <si>
    <t>Fechamento PDV Score</t>
  </si>
  <si>
    <t>EDNO</t>
  </si>
  <si>
    <t xml:space="preserve">Limpeza da base, removendo as ocorrencias </t>
  </si>
  <si>
    <t>Feedback Supervisores</t>
  </si>
  <si>
    <t>Feedback dos supervisores - Primeira semana do mês</t>
  </si>
  <si>
    <t>Roteiro Validação Supervisores</t>
  </si>
  <si>
    <t>Roteiro para validação dos supervisores segunda / conclusão Sexta-feira</t>
  </si>
  <si>
    <t xml:space="preserve">Pauta Semanal </t>
  </si>
  <si>
    <t>Atualização de Paula para Status Semanal</t>
  </si>
  <si>
    <t>Atualização Utensilios</t>
  </si>
  <si>
    <t>Atualização de Utensilios do mês</t>
  </si>
  <si>
    <t>Atualização de KPI Supervisores</t>
  </si>
  <si>
    <t>Base PDV Socore - Ocorrencias</t>
  </si>
  <si>
    <t>Validação de ocorrencias do PDV Score</t>
  </si>
  <si>
    <t>Solicitação de MPDV</t>
  </si>
  <si>
    <t>Solicitação de MPDV mensal para Equipe</t>
  </si>
  <si>
    <t>TREINAMENTO</t>
  </si>
  <si>
    <t>Card Semanal</t>
  </si>
  <si>
    <t>EDFLANKLIN</t>
  </si>
  <si>
    <t>Card Papel forração</t>
  </si>
  <si>
    <t>PDV News</t>
  </si>
  <si>
    <t>Envio do PDV News</t>
  </si>
  <si>
    <t>Reserva de Salas</t>
  </si>
  <si>
    <t>Reserva de sala coligada/filial</t>
  </si>
  <si>
    <t>Treinamento Supervisores</t>
  </si>
  <si>
    <t>Tema: Processo seletivo de Qualidade</t>
  </si>
  <si>
    <t>Reforço da Carteirinha do Sesc</t>
  </si>
  <si>
    <t>Desenvolvimento treinamento mensal - Promotores</t>
  </si>
  <si>
    <t>Mix e MPDV ideal de Cada loja / FPP</t>
  </si>
  <si>
    <t>Resumo Mensal do Treinamento - Save The Date</t>
  </si>
  <si>
    <t>Resumo do treinamento que será aplicado</t>
  </si>
  <si>
    <t xml:space="preserve">A definir </t>
  </si>
  <si>
    <t>Aplicação de Treinamento - Promotores</t>
  </si>
  <si>
    <t>Treinamento Salvador 19/03 M - Nordeste Jorge 25/03 M - Centro Leste 25/03 T - SPC 26/03 M - TM 26/03 T</t>
  </si>
  <si>
    <t xml:space="preserve">Feedback Treinamento </t>
  </si>
  <si>
    <t>Feedback Treinamento Aplicado</t>
  </si>
  <si>
    <t>Criação do Curso - Tallent</t>
  </si>
  <si>
    <t>Resumo do Treinamento respondendo as duvidas da equipe</t>
  </si>
  <si>
    <t>Importação e Vinculo PDV Score</t>
  </si>
  <si>
    <t>Atualização e Vinculo do PDV Score</t>
  </si>
  <si>
    <t>Hodometro</t>
  </si>
  <si>
    <t>Acompanhamento de Hodometro</t>
  </si>
  <si>
    <t>ABRIL</t>
  </si>
  <si>
    <t>[Gerado automaticamente — recorrência SEMANAL]</t>
  </si>
  <si>
    <t>[Gerado automaticamente — recorrência MENSAL]</t>
  </si>
  <si>
    <t>Férias</t>
  </si>
  <si>
    <t>Executiva</t>
  </si>
  <si>
    <t>[Gerado automaticamente — recorrência SEMESTRAL]</t>
  </si>
  <si>
    <t>Formulario Supervisores</t>
  </si>
  <si>
    <t>EM ANDAMENTO</t>
  </si>
  <si>
    <t>Acompanhamento de inicio (formulario e treinamento)</t>
  </si>
  <si>
    <t>Pauta Semanal</t>
  </si>
  <si>
    <t>Atualização Paginal Inicial [HUB]</t>
  </si>
  <si>
    <t>Atualização pagina inicial HUB</t>
  </si>
  <si>
    <t>Envio para validação dos supervisores</t>
  </si>
  <si>
    <t>Desenvolvimento treinamento mensal - Supervisores</t>
  </si>
  <si>
    <t>Feedback Treinamento</t>
  </si>
  <si>
    <t>2</t>
  </si>
  <si>
    <t>GERENCIAL</t>
  </si>
  <si>
    <t>MAPA DE FATURAMENTO A</t>
  </si>
  <si>
    <t>LILIAN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</si>
</sst>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yyyy\-mm\-dd"/>
    <numFmt numFmtId="165" formatCode="ddd\,\ dd/mm/yyyy"/>
    <numFmt numFmtId="166" formatCode="d/m/yy;@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theme="0"/>
      <name val="Calibri"/>
      <family val="2"/>
    </font>
    <font>
      <sz val="12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theme="0" tint="-0.14990691854609822"/>
      </top>
      <bottom style="medium">
        <color theme="0" tint="-0.1499069185460982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</borders>
  <cellStyleXfs count="7">
    <xf numFmtId="0" fontId="0" fillId="0" borderId="0"/>
    <xf numFmtId="9" fontId="2" fillId="0" borderId="0"/>
    <xf numFmtId="0" fontId="3" fillId="0" borderId="0"/>
    <xf numFmtId="165" fontId="2" fillId="0" borderId="2">
      <alignment horizontal="center" vertical="center"/>
    </xf>
    <xf numFmtId="166" fontId="2" fillId="0" borderId="1">
      <alignment horizontal="center" vertical="center"/>
    </xf>
    <xf numFmtId="0" fontId="2" fillId="0" borderId="1">
      <alignment horizontal="center" vertical="center"/>
    </xf>
    <xf numFmtId="0" fontId="2" fillId="0" borderId="1">
      <alignment horizontal="left" vertical="center" indent="2"/>
    </xf>
  </cellStyleXfs>
  <cellXfs count="34">
    <xf numFmtId="0" fontId="0" fillId="0" borderId="0" xfId="0"/>
    <xf numFmtId="0" fontId="0" fillId="0" borderId="0" xfId="0" applyAlignment="1">
      <alignment horizontal="center"/>
    </xf>
    <xf numFmtId="1" fontId="4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5" fillId="2" borderId="3" xfId="0" applyFont="1" applyFill="1" applyBorder="1" applyAlignment="1">
      <alignment horizontal="center" vertical="center" wrapText="1"/>
    </xf>
    <xf numFmtId="14" fontId="5" fillId="2" borderId="3" xfId="0" applyNumberFormat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14" fontId="0" fillId="0" borderId="3" xfId="0" applyNumberFormat="1" applyBorder="1" applyAlignment="1">
      <alignment horizontal="left" vertical="center"/>
    </xf>
    <xf numFmtId="0" fontId="8" fillId="0" borderId="3" xfId="0" applyFont="1" applyBorder="1" applyAlignment="1">
      <alignment horizontal="center" vertical="center"/>
    </xf>
    <xf numFmtId="14" fontId="8" fillId="0" borderId="3" xfId="0" applyNumberFormat="1" applyFont="1" applyBorder="1" applyAlignment="1">
      <alignment horizontal="left" vertical="center"/>
    </xf>
    <xf numFmtId="1" fontId="9" fillId="0" borderId="3" xfId="0" applyNumberFormat="1" applyFont="1" applyBorder="1" applyAlignment="1">
      <alignment horizontal="center" vertical="center"/>
    </xf>
    <xf numFmtId="0" fontId="0" fillId="0" borderId="3" xfId="0" applyBorder="1" applyAlignment="1">
      <alignment horizontal="left"/>
    </xf>
    <xf numFmtId="0" fontId="8" fillId="0" borderId="3" xfId="0" applyFont="1" applyBorder="1" applyAlignment="1">
      <alignment horizontal="left" vertical="center"/>
    </xf>
    <xf numFmtId="14" fontId="0" fillId="0" borderId="3" xfId="0" applyNumberFormat="1" applyBorder="1" applyAlignment="1">
      <alignment horizontal="left"/>
    </xf>
    <xf numFmtId="1" fontId="4" fillId="0" borderId="3" xfId="0" applyNumberFormat="1" applyFont="1" applyBorder="1" applyAlignment="1">
      <alignment horizontal="center"/>
    </xf>
    <xf numFmtId="0" fontId="10" fillId="0" borderId="3" xfId="0" applyFont="1" applyBorder="1" applyAlignment="1">
      <alignment horizontal="left" vertical="center"/>
    </xf>
    <xf numFmtId="0" fontId="0" fillId="0" borderId="3" xfId="0" applyBorder="1" applyAlignment="1">
      <alignment horizontal="center"/>
    </xf>
    <xf numFmtId="0" fontId="11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1" fillId="0" borderId="0" xfId="0" applyFont="1" applyAlignment="1">
      <alignment horizontal="left"/>
    </xf>
    <xf numFmtId="0" fontId="5" fillId="2" borderId="3" xfId="0" applyFont="1" applyFill="1" applyBorder="1" applyAlignment="1">
      <alignment horizontal="left" vertical="center" wrapText="1"/>
    </xf>
    <xf numFmtId="9" fontId="0" fillId="0" borderId="0" xfId="1" applyFont="1"/>
    <xf numFmtId="16" fontId="0" fillId="0" borderId="3" xfId="0" applyNumberFormat="1" applyBorder="1" applyAlignment="1">
      <alignment horizontal="left"/>
    </xf>
    <xf numFmtId="164" fontId="0" fillId="0" borderId="0" xfId="0" applyNumberFormat="1"/>
    <xf numFmtId="0" fontId="0" fillId="0" borderId="3" xfId="0" applyBorder="1"/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/>
    </xf>
    <xf numFmtId="1" fontId="9" fillId="0" borderId="0" xfId="0" applyNumberFormat="1" applyFont="1" applyAlignment="1">
      <alignment horizontal="center" vertical="center"/>
    </xf>
    <xf numFmtId="0" fontId="8" fillId="0" borderId="3" xfId="0" applyFont="1" applyBorder="1"/>
    <xf numFmtId="0" fontId="8" fillId="0" borderId="0" xfId="0" applyFont="1"/>
  </cellXfs>
  <cellStyles count="7">
    <cellStyle name="Data" xfId="4" xr:uid="{00000000-0005-0000-0000-000004000000}"/>
    <cellStyle name="Início do Projeto" xfId="3" xr:uid="{00000000-0005-0000-0000-000003000000}"/>
    <cellStyle name="Nome" xfId="5" xr:uid="{00000000-0005-0000-0000-000005000000}"/>
    <cellStyle name="Normal" xfId="0" builtinId="0"/>
    <cellStyle name="Porcentagem" xfId="1" builtinId="5"/>
    <cellStyle name="Tarefa" xfId="6" xr:uid="{00000000-0005-0000-0000-000006000000}"/>
    <cellStyle name="zTextoOculto" xfId="2" xr:uid="{00000000-0005-0000-0000-000002000000}"/>
  </cellStyles>
  <dxfs count="1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 patternType="solid">
          <fgColor indexed="64"/>
          <bgColor rgb="FFC65911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theme="0" tint="-0.34998626667073579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theme="0"/>
        </patternFill>
      </fill>
    </dxf>
    <dxf>
      <border>
        <left style="thin">
          <color theme="0" tint="-0.24994659260841701"/>
        </left>
      </border>
    </dxf>
    <dxf>
      <border>
        <left style="thin">
          <color theme="0" tint="-0.24994659260841701"/>
        </left>
      </border>
    </dxf>
    <dxf>
      <border>
        <top style="thin">
          <color theme="4" tint="0.39994506668294322"/>
        </top>
      </border>
    </dxf>
    <dxf>
      <fill>
        <patternFill>
          <bgColor theme="0" tint="-4.9989318521683403E-2"/>
        </patternFill>
      </fill>
      <border>
        <top style="thin">
          <color theme="4" tint="0.39994506668294322"/>
        </top>
      </border>
    </dxf>
    <dxf>
      <font>
        <b/>
        <color theme="1"/>
      </font>
    </dxf>
    <dxf>
      <font>
        <color theme="1"/>
      </font>
      <border>
        <left style="thin">
          <color theme="4"/>
        </left>
      </border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ListaDeTarefasPendentes" pivot="0" count="9" xr9:uid="{00000000-0011-0000-FFFF-FFFF00000000}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secondRowStripe" dxfId="12"/>
      <tableStyleElement type="firstColumnStripe" dxfId="11"/>
      <tableStyleElement type="secondColumnStripe" dxfId="1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N131"/>
  <sheetViews>
    <sheetView showGridLines="0" tabSelected="1" topLeftCell="D115" zoomScaleNormal="100" workbookViewId="0">
      <selection activeCell="N131" sqref="N131"/>
    </sheetView>
  </sheetViews>
  <sheetFormatPr defaultRowHeight="14.4" x14ac:dyDescent="0.3"/>
  <cols>
    <col min="1" max="1" width="3.6640625" customWidth="1"/>
    <col min="2" max="2" width="17.6640625" style="12" bestFit="1" customWidth="1"/>
    <col min="3" max="3" width="50.5546875" style="12" bestFit="1" customWidth="1"/>
    <col min="4" max="4" width="22.33203125" style="12" bestFit="1" customWidth="1"/>
    <col min="5" max="6" width="20.5546875" style="12" bestFit="1" customWidth="1"/>
    <col min="7" max="7" width="17.33203125" style="12" bestFit="1" customWidth="1"/>
    <col min="8" max="8" width="14.88671875" style="12" bestFit="1" customWidth="1"/>
    <col min="9" max="9" width="18" style="12" bestFit="1" customWidth="1"/>
    <col min="10" max="10" width="22.44140625" style="12" bestFit="1" customWidth="1"/>
    <col min="11" max="11" width="11.6640625" style="17" bestFit="1" customWidth="1"/>
    <col min="12" max="12" width="31.88671875" style="12" bestFit="1" customWidth="1"/>
    <col min="13" max="13" width="8.88671875" style="15" hidden="1" customWidth="1"/>
    <col min="14" max="14" width="102.109375" style="12" bestFit="1" customWidth="1"/>
  </cols>
  <sheetData>
    <row r="1" spans="2:14" x14ac:dyDescent="0.3">
      <c r="B1" s="20" t="s">
        <v>0</v>
      </c>
      <c r="I1" s="22"/>
      <c r="K1" s="1"/>
      <c r="M1" s="2"/>
      <c r="N1" s="3"/>
    </row>
    <row r="2" spans="2:14" x14ac:dyDescent="0.3">
      <c r="B2" s="3" t="s">
        <v>1</v>
      </c>
      <c r="K2" s="1"/>
      <c r="M2" s="2"/>
      <c r="N2" s="3"/>
    </row>
    <row r="3" spans="2:14" x14ac:dyDescent="0.3">
      <c r="B3" s="3"/>
      <c r="K3" s="1"/>
      <c r="M3" s="2"/>
      <c r="N3" s="3"/>
    </row>
    <row r="4" spans="2:14" ht="40.200000000000003" customHeight="1" x14ac:dyDescent="0.3">
      <c r="B4" s="21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  <c r="H4" s="5" t="s">
        <v>8</v>
      </c>
      <c r="I4" s="5" t="s">
        <v>9</v>
      </c>
      <c r="J4" s="5" t="s">
        <v>10</v>
      </c>
      <c r="K4" s="4" t="s">
        <v>11</v>
      </c>
      <c r="L4" s="5" t="s">
        <v>12</v>
      </c>
      <c r="M4" s="5" t="s">
        <v>13</v>
      </c>
      <c r="N4" s="4" t="s">
        <v>14</v>
      </c>
    </row>
    <row r="5" spans="2:14" ht="15.6" customHeight="1" x14ac:dyDescent="0.3">
      <c r="B5" s="19" t="s">
        <v>15</v>
      </c>
      <c r="C5" s="12" t="s">
        <v>16</v>
      </c>
      <c r="D5" s="13" t="s">
        <v>17</v>
      </c>
      <c r="E5" s="7" t="s">
        <v>18</v>
      </c>
      <c r="F5" s="7" t="s">
        <v>19</v>
      </c>
      <c r="G5" s="13" t="s">
        <v>20</v>
      </c>
      <c r="H5" s="8">
        <v>46086</v>
      </c>
      <c r="I5" s="8">
        <v>46086</v>
      </c>
      <c r="J5" s="14">
        <v>46086</v>
      </c>
      <c r="K5" s="17" t="str">
        <f t="shared" ref="K5:K11" ca="1" si="0">IF(OR(L5="CONCLUÍDO",L5="TBD",I5=""),"-",I5-TODAY())</f>
        <v>-</v>
      </c>
      <c r="L5" s="10" t="str">
        <f t="shared" ref="L5:L68" ca="1" si="1">IF(I5="","TBD",IF(G5="finalizado",IF(AND(J5&lt;&gt;"",J5&gt;I5),"CONCLUÍDO COM ATRASO","CONCLUÍDO"),IF(TODAY()&gt;I5,"ATRASADO",IF(TODAY()=I5,"ENTREGA IMEDIATA","NO PRAZO"))))</f>
        <v>CONCLUÍDO</v>
      </c>
      <c r="M5" s="11">
        <f t="shared" ref="M5:M11" ca="1" si="2">IF(L5="CONCLUÍDO",2,IF(L5="NO PRAZO",3,IF(L5="ENTREGA IMEDIATA",1,IF(L5="ATRASADO",0))))</f>
        <v>2</v>
      </c>
      <c r="N5" s="12" t="s">
        <v>21</v>
      </c>
    </row>
    <row r="6" spans="2:14" ht="15.6" customHeight="1" x14ac:dyDescent="0.3">
      <c r="B6" s="19" t="s">
        <v>15</v>
      </c>
      <c r="C6" s="16" t="s">
        <v>22</v>
      </c>
      <c r="D6" s="13" t="s">
        <v>17</v>
      </c>
      <c r="E6" s="13" t="s">
        <v>18</v>
      </c>
      <c r="F6" s="7" t="s">
        <v>19</v>
      </c>
      <c r="G6" s="13" t="s">
        <v>20</v>
      </c>
      <c r="H6" s="8">
        <v>46085</v>
      </c>
      <c r="I6" s="10">
        <v>46087</v>
      </c>
      <c r="J6" s="10">
        <v>46087</v>
      </c>
      <c r="K6" s="9" t="str">
        <f t="shared" ca="1" si="0"/>
        <v>-</v>
      </c>
      <c r="L6" s="10" t="str">
        <f t="shared" ca="1" si="1"/>
        <v>CONCLUÍDO</v>
      </c>
      <c r="M6" s="11">
        <f t="shared" ca="1" si="2"/>
        <v>2</v>
      </c>
      <c r="N6" s="12" t="s">
        <v>23</v>
      </c>
    </row>
    <row r="7" spans="2:14" ht="15.6" customHeight="1" x14ac:dyDescent="0.3">
      <c r="B7" s="19" t="s">
        <v>15</v>
      </c>
      <c r="C7" s="12" t="s">
        <v>24</v>
      </c>
      <c r="D7" s="13" t="s">
        <v>17</v>
      </c>
      <c r="E7" s="13" t="s">
        <v>18</v>
      </c>
      <c r="F7" s="13" t="s">
        <v>25</v>
      </c>
      <c r="G7" s="13" t="s">
        <v>20</v>
      </c>
      <c r="H7" s="8">
        <v>46082</v>
      </c>
      <c r="I7" s="10">
        <v>46090</v>
      </c>
      <c r="J7" s="14">
        <v>46090</v>
      </c>
      <c r="K7" s="17" t="str">
        <f t="shared" ca="1" si="0"/>
        <v>-</v>
      </c>
      <c r="L7" s="10" t="str">
        <f t="shared" ca="1" si="1"/>
        <v>CONCLUÍDO</v>
      </c>
      <c r="M7" s="11">
        <f t="shared" ca="1" si="2"/>
        <v>2</v>
      </c>
      <c r="N7" s="12" t="s">
        <v>26</v>
      </c>
    </row>
    <row r="8" spans="2:14" ht="15.6" customHeight="1" x14ac:dyDescent="0.3">
      <c r="B8" s="19" t="s">
        <v>15</v>
      </c>
      <c r="C8" s="6" t="s">
        <v>27</v>
      </c>
      <c r="D8" s="13" t="s">
        <v>17</v>
      </c>
      <c r="E8" s="13" t="s">
        <v>18</v>
      </c>
      <c r="F8" s="13" t="s">
        <v>25</v>
      </c>
      <c r="G8" s="13" t="s">
        <v>20</v>
      </c>
      <c r="H8" s="8">
        <v>46086</v>
      </c>
      <c r="I8" s="10">
        <v>46091</v>
      </c>
      <c r="J8" s="10">
        <v>46090</v>
      </c>
      <c r="K8" s="9" t="str">
        <f t="shared" ca="1" si="0"/>
        <v>-</v>
      </c>
      <c r="L8" s="10" t="str">
        <f t="shared" ca="1" si="1"/>
        <v>CONCLUÍDO</v>
      </c>
      <c r="M8" s="11">
        <f t="shared" ca="1" si="2"/>
        <v>2</v>
      </c>
      <c r="N8" s="12" t="s">
        <v>28</v>
      </c>
    </row>
    <row r="9" spans="2:14" ht="15.6" customHeight="1" x14ac:dyDescent="0.3">
      <c r="B9" s="19" t="s">
        <v>15</v>
      </c>
      <c r="C9" s="6" t="s">
        <v>29</v>
      </c>
      <c r="D9" s="13" t="s">
        <v>17</v>
      </c>
      <c r="E9" s="13" t="s">
        <v>18</v>
      </c>
      <c r="F9" s="13" t="s">
        <v>25</v>
      </c>
      <c r="G9" s="13" t="s">
        <v>20</v>
      </c>
      <c r="H9" s="8">
        <v>46091</v>
      </c>
      <c r="I9" s="8">
        <v>46091</v>
      </c>
      <c r="J9" s="10">
        <v>46080</v>
      </c>
      <c r="K9" s="9" t="str">
        <f t="shared" ca="1" si="0"/>
        <v>-</v>
      </c>
      <c r="L9" s="10" t="str">
        <f t="shared" ca="1" si="1"/>
        <v>CONCLUÍDO</v>
      </c>
      <c r="M9" s="11">
        <f t="shared" ca="1" si="2"/>
        <v>2</v>
      </c>
      <c r="N9" s="12" t="s">
        <v>30</v>
      </c>
    </row>
    <row r="10" spans="2:14" ht="15.6" customHeight="1" x14ac:dyDescent="0.3">
      <c r="B10" s="19" t="s">
        <v>15</v>
      </c>
      <c r="C10" s="6" t="s">
        <v>31</v>
      </c>
      <c r="D10" s="13" t="s">
        <v>17</v>
      </c>
      <c r="E10" s="13" t="s">
        <v>18</v>
      </c>
      <c r="F10" s="7" t="s">
        <v>25</v>
      </c>
      <c r="G10" s="13" t="s">
        <v>20</v>
      </c>
      <c r="H10" s="8">
        <v>46091</v>
      </c>
      <c r="I10" s="8">
        <v>46091</v>
      </c>
      <c r="J10" s="8">
        <v>46078</v>
      </c>
      <c r="K10" s="9" t="str">
        <f t="shared" ca="1" si="0"/>
        <v>-</v>
      </c>
      <c r="L10" s="10" t="str">
        <f t="shared" ca="1" si="1"/>
        <v>CONCLUÍDO</v>
      </c>
      <c r="M10" s="11">
        <f t="shared" ca="1" si="2"/>
        <v>2</v>
      </c>
      <c r="N10" s="12" t="s">
        <v>32</v>
      </c>
    </row>
    <row r="11" spans="2:14" ht="15.6" customHeight="1" x14ac:dyDescent="0.3">
      <c r="B11" s="19" t="s">
        <v>15</v>
      </c>
      <c r="C11" s="16" t="s">
        <v>22</v>
      </c>
      <c r="D11" s="13" t="s">
        <v>17</v>
      </c>
      <c r="E11" s="13" t="s">
        <v>18</v>
      </c>
      <c r="F11" s="7" t="s">
        <v>19</v>
      </c>
      <c r="G11" s="13" t="s">
        <v>20</v>
      </c>
      <c r="H11" s="8">
        <v>46092</v>
      </c>
      <c r="I11" s="10">
        <v>46094</v>
      </c>
      <c r="J11" s="10">
        <v>46097</v>
      </c>
      <c r="K11" s="9">
        <f t="shared" ca="1" si="0"/>
        <v>-32</v>
      </c>
      <c r="L11" s="10" t="str">
        <f t="shared" ca="1" si="1"/>
        <v>CONCLUÍDO COM ATRASO</v>
      </c>
      <c r="M11" s="11" t="b">
        <f t="shared" ca="1" si="2"/>
        <v>0</v>
      </c>
      <c r="N11" s="12" t="s">
        <v>23</v>
      </c>
    </row>
    <row r="12" spans="2:14" ht="15.6" customHeight="1" x14ac:dyDescent="0.3">
      <c r="B12" s="19" t="s">
        <v>15</v>
      </c>
      <c r="C12" s="12" t="s">
        <v>37</v>
      </c>
      <c r="D12" s="13" t="s">
        <v>17</v>
      </c>
      <c r="E12" s="7" t="s">
        <v>18</v>
      </c>
      <c r="F12" s="7" t="s">
        <v>38</v>
      </c>
      <c r="G12" s="13" t="s">
        <v>36</v>
      </c>
      <c r="H12" s="8">
        <v>46083</v>
      </c>
      <c r="I12" s="14">
        <v>46101</v>
      </c>
      <c r="J12" s="14"/>
      <c r="K12" s="17">
        <f t="shared" ref="K12:K43" ca="1" si="3">IF(OR(L12="CONCLUÍDO",L12="TBD",I12=""),"-",I12-TODAY())</f>
        <v>-25</v>
      </c>
      <c r="L12" s="10" t="str">
        <f t="shared" ca="1" si="1"/>
        <v>ATRASADO</v>
      </c>
      <c r="M12" s="11">
        <f t="shared" ref="M12:M43" ca="1" si="4">IF(L12="CONCLUÍDO",2,IF(L12="NO PRAZO",3,IF(L12="ENTREGA IMEDIATA",1,IF(L12="ATRASADO",0))))</f>
        <v>0</v>
      </c>
      <c r="N12" s="12" t="s">
        <v>39</v>
      </c>
    </row>
    <row r="13" spans="2:14" ht="15.6" customHeight="1" x14ac:dyDescent="0.3">
      <c r="B13" s="19" t="s">
        <v>15</v>
      </c>
      <c r="C13" s="12" t="s">
        <v>16</v>
      </c>
      <c r="D13" s="13" t="s">
        <v>17</v>
      </c>
      <c r="E13" s="7" t="s">
        <v>18</v>
      </c>
      <c r="F13" s="7" t="s">
        <v>19</v>
      </c>
      <c r="G13" s="13" t="s">
        <v>20</v>
      </c>
      <c r="H13" s="8">
        <v>46093</v>
      </c>
      <c r="I13" s="8">
        <v>46093</v>
      </c>
      <c r="J13" s="14">
        <v>46093</v>
      </c>
      <c r="K13" s="17" t="str">
        <f t="shared" ca="1" si="3"/>
        <v>-</v>
      </c>
      <c r="L13" s="10" t="str">
        <f t="shared" ca="1" si="1"/>
        <v>CONCLUÍDO</v>
      </c>
      <c r="M13" s="11">
        <f t="shared" ca="1" si="4"/>
        <v>2</v>
      </c>
      <c r="N13" s="12" t="s">
        <v>21</v>
      </c>
    </row>
    <row r="14" spans="2:14" ht="15.6" customHeight="1" x14ac:dyDescent="0.3">
      <c r="B14" s="19" t="s">
        <v>15</v>
      </c>
      <c r="C14" s="16" t="s">
        <v>22</v>
      </c>
      <c r="D14" s="13" t="s">
        <v>17</v>
      </c>
      <c r="E14" s="13" t="s">
        <v>18</v>
      </c>
      <c r="F14" s="7" t="s">
        <v>19</v>
      </c>
      <c r="G14" s="13" t="s">
        <v>36</v>
      </c>
      <c r="H14" s="8">
        <v>46099</v>
      </c>
      <c r="I14" s="10">
        <v>46101</v>
      </c>
      <c r="J14" s="10">
        <v>46101</v>
      </c>
      <c r="K14" s="9">
        <f t="shared" ca="1" si="3"/>
        <v>-25</v>
      </c>
      <c r="L14" s="10" t="str">
        <f t="shared" ca="1" si="1"/>
        <v>ATRASADO</v>
      </c>
      <c r="M14" s="11">
        <f t="shared" ca="1" si="4"/>
        <v>0</v>
      </c>
      <c r="N14" s="12" t="s">
        <v>23</v>
      </c>
    </row>
    <row r="15" spans="2:14" ht="15.6" customHeight="1" x14ac:dyDescent="0.3">
      <c r="B15" s="19" t="s">
        <v>15</v>
      </c>
      <c r="C15" s="12" t="s">
        <v>103</v>
      </c>
      <c r="D15" s="13" t="s">
        <v>17</v>
      </c>
      <c r="E15" s="13" t="s">
        <v>18</v>
      </c>
      <c r="F15" s="7" t="s">
        <v>25</v>
      </c>
      <c r="G15" s="13" t="s">
        <v>36</v>
      </c>
      <c r="H15" s="14">
        <v>46083</v>
      </c>
      <c r="I15" s="14">
        <v>46084</v>
      </c>
      <c r="J15" s="14">
        <v>46087</v>
      </c>
      <c r="K15" s="17">
        <f t="shared" ca="1" si="3"/>
        <v>-42</v>
      </c>
      <c r="L15" s="10" t="str">
        <f t="shared" ca="1" si="1"/>
        <v>ATRASADO</v>
      </c>
      <c r="M15" s="11">
        <f t="shared" ca="1" si="4"/>
        <v>0</v>
      </c>
      <c r="N15" s="12" t="s">
        <v>104</v>
      </c>
    </row>
    <row r="16" spans="2:14" ht="15.6" customHeight="1" x14ac:dyDescent="0.3">
      <c r="B16" s="19" t="s">
        <v>15</v>
      </c>
      <c r="C16" s="12" t="s">
        <v>16</v>
      </c>
      <c r="D16" s="13" t="s">
        <v>17</v>
      </c>
      <c r="E16" s="7" t="s">
        <v>18</v>
      </c>
      <c r="F16" s="7" t="s">
        <v>19</v>
      </c>
      <c r="G16" s="13" t="s">
        <v>36</v>
      </c>
      <c r="H16" s="8">
        <v>46100</v>
      </c>
      <c r="I16" s="8">
        <v>46100</v>
      </c>
      <c r="J16" s="14">
        <v>46100</v>
      </c>
      <c r="K16" s="17">
        <f t="shared" ca="1" si="3"/>
        <v>-26</v>
      </c>
      <c r="L16" s="10" t="str">
        <f t="shared" ca="1" si="1"/>
        <v>ATRASADO</v>
      </c>
      <c r="M16" s="11">
        <f t="shared" ca="1" si="4"/>
        <v>0</v>
      </c>
      <c r="N16" s="12" t="s">
        <v>21</v>
      </c>
    </row>
    <row r="17" spans="2:14" ht="15.6" customHeight="1" x14ac:dyDescent="0.3">
      <c r="B17" s="19" t="s">
        <v>15</v>
      </c>
      <c r="C17" s="6" t="s">
        <v>33</v>
      </c>
      <c r="D17" s="13" t="s">
        <v>17</v>
      </c>
      <c r="E17" s="13" t="s">
        <v>18</v>
      </c>
      <c r="F17" s="7" t="s">
        <v>19</v>
      </c>
      <c r="G17" s="13" t="s">
        <v>36</v>
      </c>
      <c r="H17" s="8">
        <v>46100</v>
      </c>
      <c r="I17" s="8">
        <v>46100</v>
      </c>
      <c r="J17" s="8"/>
      <c r="K17" s="9">
        <f t="shared" ca="1" si="3"/>
        <v>-26</v>
      </c>
      <c r="L17" s="10" t="str">
        <f t="shared" ca="1" si="1"/>
        <v>ATRASADO</v>
      </c>
      <c r="M17" s="11">
        <f t="shared" ca="1" si="4"/>
        <v>0</v>
      </c>
      <c r="N17" s="12" t="s">
        <v>35</v>
      </c>
    </row>
    <row r="18" spans="2:14" ht="15.6" customHeight="1" x14ac:dyDescent="0.3">
      <c r="B18" s="19" t="s">
        <v>15</v>
      </c>
      <c r="C18" s="6" t="s">
        <v>40</v>
      </c>
      <c r="D18" s="13" t="s">
        <v>17</v>
      </c>
      <c r="E18" s="13" t="s">
        <v>18</v>
      </c>
      <c r="F18" s="13" t="s">
        <v>25</v>
      </c>
      <c r="G18" s="13" t="s">
        <v>36</v>
      </c>
      <c r="H18" s="8">
        <v>46091</v>
      </c>
      <c r="I18" s="8">
        <v>46101</v>
      </c>
      <c r="J18" s="14">
        <v>46101</v>
      </c>
      <c r="K18" s="9">
        <f t="shared" ca="1" si="3"/>
        <v>-25</v>
      </c>
      <c r="L18" s="10" t="str">
        <f t="shared" ca="1" si="1"/>
        <v>ATRASADO</v>
      </c>
      <c r="M18" s="11">
        <f t="shared" ca="1" si="4"/>
        <v>0</v>
      </c>
      <c r="N18" s="12" t="s">
        <v>41</v>
      </c>
    </row>
    <row r="19" spans="2:14" ht="15.6" customHeight="1" x14ac:dyDescent="0.3">
      <c r="B19" s="19" t="s">
        <v>15</v>
      </c>
      <c r="C19" s="6" t="s">
        <v>33</v>
      </c>
      <c r="D19" s="13" t="s">
        <v>17</v>
      </c>
      <c r="E19" s="13" t="s">
        <v>18</v>
      </c>
      <c r="F19" s="7" t="s">
        <v>19</v>
      </c>
      <c r="G19" s="13" t="s">
        <v>36</v>
      </c>
      <c r="H19" s="8">
        <v>46104</v>
      </c>
      <c r="I19" s="8">
        <v>46104</v>
      </c>
      <c r="J19" s="14"/>
      <c r="K19" s="9">
        <f t="shared" ca="1" si="3"/>
        <v>-22</v>
      </c>
      <c r="L19" s="10" t="str">
        <f t="shared" ca="1" si="1"/>
        <v>ATRASADO</v>
      </c>
      <c r="M19" s="11">
        <f t="shared" ca="1" si="4"/>
        <v>0</v>
      </c>
      <c r="N19" s="12" t="s">
        <v>35</v>
      </c>
    </row>
    <row r="20" spans="2:14" ht="15.6" customHeight="1" x14ac:dyDescent="0.3">
      <c r="B20" s="19" t="s">
        <v>15</v>
      </c>
      <c r="C20" s="12" t="s">
        <v>16</v>
      </c>
      <c r="D20" s="13" t="s">
        <v>17</v>
      </c>
      <c r="E20" s="7" t="s">
        <v>18</v>
      </c>
      <c r="F20" s="7" t="s">
        <v>19</v>
      </c>
      <c r="G20" s="13" t="s">
        <v>36</v>
      </c>
      <c r="H20" s="8">
        <v>46107</v>
      </c>
      <c r="I20" s="8">
        <v>46107</v>
      </c>
      <c r="J20" s="14">
        <v>46107</v>
      </c>
      <c r="K20" s="17">
        <f t="shared" ca="1" si="3"/>
        <v>-19</v>
      </c>
      <c r="L20" s="10" t="str">
        <f t="shared" ca="1" si="1"/>
        <v>ATRASADO</v>
      </c>
      <c r="M20" s="11">
        <f t="shared" ca="1" si="4"/>
        <v>0</v>
      </c>
      <c r="N20" s="12" t="s">
        <v>21</v>
      </c>
    </row>
    <row r="21" spans="2:14" ht="15.6" customHeight="1" x14ac:dyDescent="0.3">
      <c r="B21" s="19" t="s">
        <v>15</v>
      </c>
      <c r="C21" s="6" t="s">
        <v>42</v>
      </c>
      <c r="D21" s="13" t="s">
        <v>17</v>
      </c>
      <c r="E21" s="13" t="s">
        <v>18</v>
      </c>
      <c r="F21" s="13" t="s">
        <v>25</v>
      </c>
      <c r="G21" s="13" t="s">
        <v>36</v>
      </c>
      <c r="H21" s="8">
        <v>46101</v>
      </c>
      <c r="I21" s="8">
        <v>46106</v>
      </c>
      <c r="J21" s="14">
        <v>46106</v>
      </c>
      <c r="K21" s="9">
        <f t="shared" ca="1" si="3"/>
        <v>-20</v>
      </c>
      <c r="L21" s="10" t="str">
        <f t="shared" ca="1" si="1"/>
        <v>ATRASADO</v>
      </c>
      <c r="M21" s="11">
        <f t="shared" ca="1" si="4"/>
        <v>0</v>
      </c>
      <c r="N21" s="12" t="s">
        <v>43</v>
      </c>
    </row>
    <row r="22" spans="2:14" ht="15.6" customHeight="1" x14ac:dyDescent="0.3">
      <c r="B22" s="19" t="s">
        <v>15</v>
      </c>
      <c r="C22" s="16" t="s">
        <v>22</v>
      </c>
      <c r="D22" s="13" t="s">
        <v>17</v>
      </c>
      <c r="E22" s="13" t="s">
        <v>18</v>
      </c>
      <c r="F22" s="7" t="s">
        <v>19</v>
      </c>
      <c r="G22" s="13" t="s">
        <v>36</v>
      </c>
      <c r="H22" s="8">
        <v>46106</v>
      </c>
      <c r="I22" s="10">
        <v>46108</v>
      </c>
      <c r="J22" s="14">
        <v>46111</v>
      </c>
      <c r="K22" s="9">
        <f t="shared" ca="1" si="3"/>
        <v>-18</v>
      </c>
      <c r="L22" s="10" t="str">
        <f t="shared" ca="1" si="1"/>
        <v>ATRASADO</v>
      </c>
      <c r="M22" s="11">
        <f t="shared" ca="1" si="4"/>
        <v>0</v>
      </c>
      <c r="N22" s="12" t="s">
        <v>23</v>
      </c>
    </row>
    <row r="23" spans="2:14" ht="15.6" customHeight="1" x14ac:dyDescent="0.3">
      <c r="B23" s="19" t="s">
        <v>15</v>
      </c>
      <c r="C23" s="12" t="s">
        <v>44</v>
      </c>
      <c r="D23" s="13" t="s">
        <v>17</v>
      </c>
      <c r="E23" s="13" t="s">
        <v>18</v>
      </c>
      <c r="F23" s="7" t="s">
        <v>25</v>
      </c>
      <c r="G23" s="13" t="s">
        <v>36</v>
      </c>
      <c r="H23" s="8">
        <v>46105</v>
      </c>
      <c r="I23" s="14">
        <v>46108</v>
      </c>
      <c r="J23" s="14">
        <v>46108</v>
      </c>
      <c r="K23" s="17">
        <f t="shared" ca="1" si="3"/>
        <v>-18</v>
      </c>
      <c r="L23" s="10" t="str">
        <f t="shared" ca="1" si="1"/>
        <v>ATRASADO</v>
      </c>
      <c r="M23" s="11">
        <f t="shared" ca="1" si="4"/>
        <v>0</v>
      </c>
      <c r="N23" s="12" t="s">
        <v>45</v>
      </c>
    </row>
    <row r="24" spans="2:14" ht="15.6" customHeight="1" x14ac:dyDescent="0.3">
      <c r="B24" s="19" t="s">
        <v>46</v>
      </c>
      <c r="C24" s="12" t="s">
        <v>47</v>
      </c>
      <c r="D24" s="13" t="s">
        <v>17</v>
      </c>
      <c r="E24" s="7" t="s">
        <v>48</v>
      </c>
      <c r="F24" s="7" t="s">
        <v>38</v>
      </c>
      <c r="G24" s="13" t="s">
        <v>20</v>
      </c>
      <c r="H24" s="8">
        <v>46073</v>
      </c>
      <c r="I24" s="14">
        <v>46087</v>
      </c>
      <c r="J24" s="14">
        <v>46090</v>
      </c>
      <c r="K24" s="17">
        <f t="shared" ca="1" si="3"/>
        <v>-39</v>
      </c>
      <c r="L24" s="10" t="str">
        <f t="shared" ca="1" si="1"/>
        <v>CONCLUÍDO COM ATRASO</v>
      </c>
      <c r="M24" s="11" t="b">
        <f t="shared" ca="1" si="4"/>
        <v>0</v>
      </c>
      <c r="N24" s="12" t="s">
        <v>49</v>
      </c>
    </row>
    <row r="25" spans="2:14" ht="15.6" customHeight="1" x14ac:dyDescent="0.3">
      <c r="B25" s="19" t="s">
        <v>46</v>
      </c>
      <c r="C25" s="12" t="s">
        <v>50</v>
      </c>
      <c r="D25" s="13" t="s">
        <v>17</v>
      </c>
      <c r="E25" s="7" t="s">
        <v>48</v>
      </c>
      <c r="F25" s="7" t="s">
        <v>19</v>
      </c>
      <c r="G25" s="13" t="s">
        <v>20</v>
      </c>
      <c r="H25" s="8">
        <v>46087</v>
      </c>
      <c r="I25" s="8">
        <v>46087</v>
      </c>
      <c r="J25" s="14">
        <v>46087</v>
      </c>
      <c r="K25" s="17" t="str">
        <f t="shared" ca="1" si="3"/>
        <v>-</v>
      </c>
      <c r="L25" s="10" t="str">
        <f t="shared" ca="1" si="1"/>
        <v>CONCLUÍDO</v>
      </c>
      <c r="M25" s="11">
        <f t="shared" ca="1" si="4"/>
        <v>2</v>
      </c>
      <c r="N25" s="12" t="s">
        <v>51</v>
      </c>
    </row>
    <row r="26" spans="2:14" ht="15.6" customHeight="1" x14ac:dyDescent="0.3">
      <c r="B26" s="19" t="s">
        <v>46</v>
      </c>
      <c r="C26" s="12" t="s">
        <v>52</v>
      </c>
      <c r="D26" s="13" t="s">
        <v>17</v>
      </c>
      <c r="E26" s="7" t="s">
        <v>48</v>
      </c>
      <c r="F26" s="7" t="s">
        <v>19</v>
      </c>
      <c r="G26" s="13" t="s">
        <v>20</v>
      </c>
      <c r="H26" s="8">
        <v>46087</v>
      </c>
      <c r="I26" s="8">
        <v>46087</v>
      </c>
      <c r="J26" s="14">
        <v>46087</v>
      </c>
      <c r="K26" s="17" t="str">
        <f t="shared" ca="1" si="3"/>
        <v>-</v>
      </c>
      <c r="L26" s="10" t="str">
        <f t="shared" ca="1" si="1"/>
        <v>CONCLUÍDO</v>
      </c>
      <c r="M26" s="11">
        <f t="shared" ca="1" si="4"/>
        <v>2</v>
      </c>
      <c r="N26" s="12" t="s">
        <v>53</v>
      </c>
    </row>
    <row r="27" spans="2:14" ht="15.6" customHeight="1" x14ac:dyDescent="0.3">
      <c r="B27" s="19" t="s">
        <v>46</v>
      </c>
      <c r="C27" s="12" t="s">
        <v>54</v>
      </c>
      <c r="D27" s="13" t="s">
        <v>17</v>
      </c>
      <c r="E27" s="7" t="s">
        <v>48</v>
      </c>
      <c r="F27" s="7" t="s">
        <v>25</v>
      </c>
      <c r="G27" s="13" t="s">
        <v>36</v>
      </c>
      <c r="H27" s="8">
        <v>46091</v>
      </c>
      <c r="I27" s="8">
        <v>46091</v>
      </c>
      <c r="J27" s="14"/>
      <c r="K27" s="17">
        <f t="shared" ca="1" si="3"/>
        <v>-35</v>
      </c>
      <c r="L27" s="10" t="str">
        <f t="shared" ca="1" si="1"/>
        <v>ATRASADO</v>
      </c>
      <c r="M27" s="11">
        <f t="shared" ca="1" si="4"/>
        <v>0</v>
      </c>
      <c r="N27" s="12" t="s">
        <v>55</v>
      </c>
    </row>
    <row r="28" spans="2:14" ht="15.6" customHeight="1" x14ac:dyDescent="0.3">
      <c r="B28" s="19" t="s">
        <v>46</v>
      </c>
      <c r="C28" s="12" t="s">
        <v>50</v>
      </c>
      <c r="D28" s="13" t="s">
        <v>17</v>
      </c>
      <c r="E28" s="7" t="s">
        <v>48</v>
      </c>
      <c r="F28" s="7" t="s">
        <v>19</v>
      </c>
      <c r="G28" s="13" t="s">
        <v>36</v>
      </c>
      <c r="H28" s="8">
        <v>46094</v>
      </c>
      <c r="I28" s="8">
        <v>46094</v>
      </c>
      <c r="J28" s="14"/>
      <c r="K28" s="17">
        <f t="shared" ca="1" si="3"/>
        <v>-32</v>
      </c>
      <c r="L28" s="10" t="str">
        <f t="shared" ca="1" si="1"/>
        <v>ATRASADO</v>
      </c>
      <c r="M28" s="11">
        <f t="shared" ca="1" si="4"/>
        <v>0</v>
      </c>
      <c r="N28" s="12" t="s">
        <v>51</v>
      </c>
    </row>
    <row r="29" spans="2:14" ht="15.6" customHeight="1" x14ac:dyDescent="0.3">
      <c r="B29" s="19" t="s">
        <v>46</v>
      </c>
      <c r="C29" s="12" t="s">
        <v>52</v>
      </c>
      <c r="D29" s="13" t="s">
        <v>17</v>
      </c>
      <c r="E29" s="7" t="s">
        <v>48</v>
      </c>
      <c r="F29" s="7" t="s">
        <v>19</v>
      </c>
      <c r="G29" s="13" t="s">
        <v>36</v>
      </c>
      <c r="H29" s="8">
        <v>46094</v>
      </c>
      <c r="I29" s="8">
        <v>46094</v>
      </c>
      <c r="J29" s="14"/>
      <c r="K29" s="17">
        <f t="shared" ca="1" si="3"/>
        <v>-32</v>
      </c>
      <c r="L29" s="10" t="str">
        <f t="shared" ca="1" si="1"/>
        <v>ATRASADO</v>
      </c>
      <c r="M29" s="11">
        <f t="shared" ca="1" si="4"/>
        <v>0</v>
      </c>
      <c r="N29" s="12" t="s">
        <v>53</v>
      </c>
    </row>
    <row r="30" spans="2:14" ht="15.6" customHeight="1" x14ac:dyDescent="0.3">
      <c r="B30" s="19" t="s">
        <v>46</v>
      </c>
      <c r="C30" s="12" t="s">
        <v>56</v>
      </c>
      <c r="D30" s="13" t="s">
        <v>17</v>
      </c>
      <c r="E30" s="7" t="s">
        <v>48</v>
      </c>
      <c r="F30" s="7" t="s">
        <v>25</v>
      </c>
      <c r="G30" s="13" t="s">
        <v>36</v>
      </c>
      <c r="H30" s="14">
        <v>46091</v>
      </c>
      <c r="I30" s="14">
        <v>46096</v>
      </c>
      <c r="J30" s="14"/>
      <c r="K30" s="17">
        <f t="shared" ca="1" si="3"/>
        <v>-30</v>
      </c>
      <c r="L30" s="10" t="str">
        <f t="shared" ca="1" si="1"/>
        <v>ATRASADO</v>
      </c>
      <c r="M30" s="11">
        <f t="shared" ca="1" si="4"/>
        <v>0</v>
      </c>
    </row>
    <row r="31" spans="2:14" ht="15.6" customHeight="1" x14ac:dyDescent="0.3">
      <c r="B31" s="19" t="s">
        <v>46</v>
      </c>
      <c r="C31" s="12" t="s">
        <v>50</v>
      </c>
      <c r="D31" s="13" t="s">
        <v>17</v>
      </c>
      <c r="E31" s="7" t="s">
        <v>48</v>
      </c>
      <c r="F31" s="7" t="s">
        <v>19</v>
      </c>
      <c r="G31" s="13" t="s">
        <v>36</v>
      </c>
      <c r="H31" s="8">
        <v>46101</v>
      </c>
      <c r="I31" s="8">
        <v>46101</v>
      </c>
      <c r="J31" s="14"/>
      <c r="K31" s="17">
        <f t="shared" ca="1" si="3"/>
        <v>-25</v>
      </c>
      <c r="L31" s="10" t="str">
        <f t="shared" ca="1" si="1"/>
        <v>ATRASADO</v>
      </c>
      <c r="M31" s="11">
        <f t="shared" ca="1" si="4"/>
        <v>0</v>
      </c>
      <c r="N31" s="12" t="s">
        <v>51</v>
      </c>
    </row>
    <row r="32" spans="2:14" ht="15.6" customHeight="1" x14ac:dyDescent="0.3">
      <c r="B32" s="19" t="s">
        <v>46</v>
      </c>
      <c r="C32" s="12" t="s">
        <v>57</v>
      </c>
      <c r="D32" s="13" t="s">
        <v>17</v>
      </c>
      <c r="E32" s="7" t="s">
        <v>48</v>
      </c>
      <c r="F32" s="7" t="s">
        <v>25</v>
      </c>
      <c r="G32" s="13" t="s">
        <v>36</v>
      </c>
      <c r="H32" s="8">
        <v>46101</v>
      </c>
      <c r="I32" s="8">
        <v>46101</v>
      </c>
      <c r="J32" s="14"/>
      <c r="K32" s="17">
        <f t="shared" ca="1" si="3"/>
        <v>-25</v>
      </c>
      <c r="L32" s="10" t="str">
        <f t="shared" ca="1" si="1"/>
        <v>ATRASADO</v>
      </c>
      <c r="M32" s="11">
        <f t="shared" ca="1" si="4"/>
        <v>0</v>
      </c>
      <c r="N32" s="12" t="s">
        <v>58</v>
      </c>
    </row>
    <row r="33" spans="2:14" ht="15.6" customHeight="1" x14ac:dyDescent="0.3">
      <c r="B33" s="19" t="s">
        <v>46</v>
      </c>
      <c r="C33" s="12" t="s">
        <v>52</v>
      </c>
      <c r="D33" s="13" t="s">
        <v>17</v>
      </c>
      <c r="E33" s="7" t="s">
        <v>48</v>
      </c>
      <c r="F33" s="7" t="s">
        <v>19</v>
      </c>
      <c r="G33" s="13" t="s">
        <v>36</v>
      </c>
      <c r="H33" s="8">
        <v>46101</v>
      </c>
      <c r="I33" s="8">
        <v>46101</v>
      </c>
      <c r="J33" s="14"/>
      <c r="K33" s="17">
        <f t="shared" ca="1" si="3"/>
        <v>-25</v>
      </c>
      <c r="L33" s="10" t="str">
        <f t="shared" ca="1" si="1"/>
        <v>ATRASADO</v>
      </c>
      <c r="M33" s="11">
        <f t="shared" ca="1" si="4"/>
        <v>0</v>
      </c>
      <c r="N33" s="12" t="s">
        <v>53</v>
      </c>
    </row>
    <row r="34" spans="2:14" ht="15.6" customHeight="1" x14ac:dyDescent="0.3">
      <c r="B34" s="19" t="s">
        <v>46</v>
      </c>
      <c r="C34" s="12" t="s">
        <v>59</v>
      </c>
      <c r="D34" s="13" t="s">
        <v>17</v>
      </c>
      <c r="E34" s="7" t="s">
        <v>48</v>
      </c>
      <c r="F34" s="7" t="s">
        <v>60</v>
      </c>
      <c r="G34" s="13" t="s">
        <v>36</v>
      </c>
      <c r="H34" s="8">
        <v>46085</v>
      </c>
      <c r="I34" s="14">
        <v>46106</v>
      </c>
      <c r="J34" s="14"/>
      <c r="K34" s="17">
        <f t="shared" ca="1" si="3"/>
        <v>-20</v>
      </c>
      <c r="L34" s="10" t="str">
        <f t="shared" ca="1" si="1"/>
        <v>ATRASADO</v>
      </c>
      <c r="M34" s="11">
        <f t="shared" ca="1" si="4"/>
        <v>0</v>
      </c>
      <c r="N34" s="12" t="s">
        <v>61</v>
      </c>
    </row>
    <row r="35" spans="2:14" ht="15.6" customHeight="1" x14ac:dyDescent="0.3">
      <c r="B35" s="19" t="s">
        <v>46</v>
      </c>
      <c r="C35" s="12" t="s">
        <v>50</v>
      </c>
      <c r="D35" s="13" t="s">
        <v>17</v>
      </c>
      <c r="E35" s="7" t="s">
        <v>48</v>
      </c>
      <c r="F35" s="7" t="s">
        <v>19</v>
      </c>
      <c r="G35" s="13" t="s">
        <v>36</v>
      </c>
      <c r="H35" s="8">
        <v>46108</v>
      </c>
      <c r="I35" s="8">
        <v>46108</v>
      </c>
      <c r="J35" s="14"/>
      <c r="K35" s="17">
        <f t="shared" ca="1" si="3"/>
        <v>-18</v>
      </c>
      <c r="L35" s="10" t="str">
        <f t="shared" ca="1" si="1"/>
        <v>ATRASADO</v>
      </c>
      <c r="M35" s="11">
        <f t="shared" ca="1" si="4"/>
        <v>0</v>
      </c>
      <c r="N35" s="12" t="s">
        <v>51</v>
      </c>
    </row>
    <row r="36" spans="2:14" ht="15.6" customHeight="1" x14ac:dyDescent="0.3">
      <c r="B36" s="19" t="s">
        <v>46</v>
      </c>
      <c r="C36" s="12" t="s">
        <v>52</v>
      </c>
      <c r="D36" s="13" t="s">
        <v>17</v>
      </c>
      <c r="E36" s="7" t="s">
        <v>48</v>
      </c>
      <c r="F36" s="7" t="s">
        <v>19</v>
      </c>
      <c r="G36" s="13" t="s">
        <v>36</v>
      </c>
      <c r="H36" s="8">
        <v>46108</v>
      </c>
      <c r="I36" s="8">
        <v>46108</v>
      </c>
      <c r="J36" s="14"/>
      <c r="K36" s="17">
        <f t="shared" ca="1" si="3"/>
        <v>-18</v>
      </c>
      <c r="L36" s="10" t="str">
        <f t="shared" ca="1" si="1"/>
        <v>ATRASADO</v>
      </c>
      <c r="M36" s="11">
        <f t="shared" ca="1" si="4"/>
        <v>0</v>
      </c>
      <c r="N36" s="12" t="s">
        <v>53</v>
      </c>
    </row>
    <row r="37" spans="2:14" ht="15.6" customHeight="1" x14ac:dyDescent="0.3">
      <c r="B37" s="19" t="s">
        <v>62</v>
      </c>
      <c r="C37" s="12" t="s">
        <v>63</v>
      </c>
      <c r="D37" s="13" t="s">
        <v>17</v>
      </c>
      <c r="E37" s="13" t="s">
        <v>64</v>
      </c>
      <c r="F37" s="7" t="s">
        <v>25</v>
      </c>
      <c r="G37" s="7" t="s">
        <v>20</v>
      </c>
      <c r="H37" s="8">
        <v>46082</v>
      </c>
      <c r="I37" s="14">
        <v>46088</v>
      </c>
      <c r="J37" s="14">
        <v>46118</v>
      </c>
      <c r="K37" s="17">
        <f t="shared" ca="1" si="3"/>
        <v>-38</v>
      </c>
      <c r="L37" s="10" t="str">
        <f t="shared" ca="1" si="1"/>
        <v>CONCLUÍDO COM ATRASO</v>
      </c>
      <c r="M37" s="11" t="b">
        <f t="shared" ca="1" si="4"/>
        <v>0</v>
      </c>
      <c r="N37" s="12" t="s">
        <v>65</v>
      </c>
    </row>
    <row r="38" spans="2:14" ht="15.6" customHeight="1" x14ac:dyDescent="0.3">
      <c r="B38" s="19" t="s">
        <v>62</v>
      </c>
      <c r="C38" s="12" t="s">
        <v>66</v>
      </c>
      <c r="D38" s="13" t="s">
        <v>17</v>
      </c>
      <c r="E38" s="13" t="s">
        <v>64</v>
      </c>
      <c r="F38" s="7" t="s">
        <v>25</v>
      </c>
      <c r="G38" s="7" t="s">
        <v>20</v>
      </c>
      <c r="H38" s="8">
        <v>46082</v>
      </c>
      <c r="I38" s="14">
        <v>46088</v>
      </c>
      <c r="J38" s="14">
        <v>46086</v>
      </c>
      <c r="K38" s="17" t="str">
        <f t="shared" ca="1" si="3"/>
        <v>-</v>
      </c>
      <c r="L38" s="10" t="str">
        <f t="shared" ca="1" si="1"/>
        <v>CONCLUÍDO</v>
      </c>
      <c r="M38" s="11">
        <f t="shared" ca="1" si="4"/>
        <v>2</v>
      </c>
      <c r="N38" s="12" t="s">
        <v>67</v>
      </c>
    </row>
    <row r="39" spans="2:14" ht="15.6" customHeight="1" x14ac:dyDescent="0.3">
      <c r="B39" s="19" t="s">
        <v>62</v>
      </c>
      <c r="C39" s="6" t="s">
        <v>68</v>
      </c>
      <c r="D39" s="13" t="s">
        <v>17</v>
      </c>
      <c r="E39" s="13" t="s">
        <v>64</v>
      </c>
      <c r="F39" s="13" t="s">
        <v>19</v>
      </c>
      <c r="G39" s="7" t="s">
        <v>20</v>
      </c>
      <c r="H39" s="10">
        <v>46083</v>
      </c>
      <c r="I39" s="10">
        <v>46087</v>
      </c>
      <c r="J39" s="14">
        <v>46087</v>
      </c>
      <c r="K39" s="9" t="str">
        <f t="shared" ca="1" si="3"/>
        <v>-</v>
      </c>
      <c r="L39" s="10" t="str">
        <f t="shared" ca="1" si="1"/>
        <v>CONCLUÍDO</v>
      </c>
      <c r="M39" s="11">
        <f t="shared" ca="1" si="4"/>
        <v>2</v>
      </c>
      <c r="N39" s="12" t="s">
        <v>69</v>
      </c>
    </row>
    <row r="40" spans="2:14" s="12" customFormat="1" ht="15.6" customHeight="1" x14ac:dyDescent="0.3">
      <c r="B40" s="19" t="s">
        <v>62</v>
      </c>
      <c r="C40" s="12" t="s">
        <v>70</v>
      </c>
      <c r="D40" s="13" t="s">
        <v>17</v>
      </c>
      <c r="E40" s="13" t="s">
        <v>64</v>
      </c>
      <c r="F40" s="7" t="s">
        <v>19</v>
      </c>
      <c r="G40" s="7" t="s">
        <v>20</v>
      </c>
      <c r="H40" s="8">
        <v>46086</v>
      </c>
      <c r="I40" s="14">
        <v>46087</v>
      </c>
      <c r="J40" s="14">
        <v>46087</v>
      </c>
      <c r="K40" s="17" t="str">
        <f t="shared" ca="1" si="3"/>
        <v>-</v>
      </c>
      <c r="L40" s="10" t="str">
        <f t="shared" ca="1" si="1"/>
        <v>CONCLUÍDO</v>
      </c>
      <c r="M40" s="11">
        <f t="shared" ca="1" si="4"/>
        <v>2</v>
      </c>
      <c r="N40" s="12" t="s">
        <v>71</v>
      </c>
    </row>
    <row r="41" spans="2:14" s="12" customFormat="1" ht="15.6" customHeight="1" x14ac:dyDescent="0.3">
      <c r="B41" s="19" t="s">
        <v>62</v>
      </c>
      <c r="C41" s="6" t="s">
        <v>68</v>
      </c>
      <c r="D41" s="13" t="s">
        <v>17</v>
      </c>
      <c r="E41" s="13" t="s">
        <v>64</v>
      </c>
      <c r="F41" s="13" t="s">
        <v>19</v>
      </c>
      <c r="G41" s="7" t="s">
        <v>20</v>
      </c>
      <c r="H41" s="10">
        <v>46090</v>
      </c>
      <c r="I41" s="10">
        <v>46094</v>
      </c>
      <c r="J41" s="14">
        <v>46094</v>
      </c>
      <c r="K41" s="9" t="str">
        <f t="shared" ca="1" si="3"/>
        <v>-</v>
      </c>
      <c r="L41" s="10" t="str">
        <f t="shared" ca="1" si="1"/>
        <v>CONCLUÍDO</v>
      </c>
      <c r="M41" s="11">
        <f t="shared" ca="1" si="4"/>
        <v>2</v>
      </c>
      <c r="N41" s="12" t="s">
        <v>69</v>
      </c>
    </row>
    <row r="42" spans="2:14" s="12" customFormat="1" ht="15.6" customHeight="1" x14ac:dyDescent="0.3">
      <c r="B42" s="19" t="s">
        <v>62</v>
      </c>
      <c r="C42" s="12" t="s">
        <v>70</v>
      </c>
      <c r="D42" s="13" t="s">
        <v>17</v>
      </c>
      <c r="E42" s="13" t="s">
        <v>64</v>
      </c>
      <c r="F42" s="7" t="s">
        <v>19</v>
      </c>
      <c r="G42" s="7" t="s">
        <v>20</v>
      </c>
      <c r="H42" s="8">
        <v>46093</v>
      </c>
      <c r="I42" s="14">
        <v>46094</v>
      </c>
      <c r="J42" s="14">
        <v>46094</v>
      </c>
      <c r="K42" s="17" t="str">
        <f t="shared" ca="1" si="3"/>
        <v>-</v>
      </c>
      <c r="L42" s="10" t="str">
        <f t="shared" ca="1" si="1"/>
        <v>CONCLUÍDO</v>
      </c>
      <c r="M42" s="11">
        <f t="shared" ca="1" si="4"/>
        <v>2</v>
      </c>
      <c r="N42" s="12" t="s">
        <v>71</v>
      </c>
    </row>
    <row r="43" spans="2:14" s="12" customFormat="1" ht="15.6" customHeight="1" x14ac:dyDescent="0.3">
      <c r="B43" s="19" t="s">
        <v>62</v>
      </c>
      <c r="C43" s="6" t="s">
        <v>68</v>
      </c>
      <c r="D43" s="13" t="s">
        <v>17</v>
      </c>
      <c r="E43" s="13" t="s">
        <v>64</v>
      </c>
      <c r="F43" s="13" t="s">
        <v>19</v>
      </c>
      <c r="G43" s="7" t="s">
        <v>20</v>
      </c>
      <c r="H43" s="10">
        <v>46097</v>
      </c>
      <c r="I43" s="10">
        <v>46101</v>
      </c>
      <c r="J43" s="14">
        <v>46101</v>
      </c>
      <c r="K43" s="9" t="str">
        <f t="shared" ca="1" si="3"/>
        <v>-</v>
      </c>
      <c r="L43" s="10" t="str">
        <f t="shared" ca="1" si="1"/>
        <v>CONCLUÍDO</v>
      </c>
      <c r="M43" s="11">
        <f t="shared" ca="1" si="4"/>
        <v>2</v>
      </c>
      <c r="N43" s="12" t="s">
        <v>69</v>
      </c>
    </row>
    <row r="44" spans="2:14" s="12" customFormat="1" ht="15.6" customHeight="1" x14ac:dyDescent="0.3">
      <c r="B44" s="19" t="s">
        <v>62</v>
      </c>
      <c r="C44" s="6" t="s">
        <v>72</v>
      </c>
      <c r="D44" s="13" t="s">
        <v>17</v>
      </c>
      <c r="E44" s="7" t="s">
        <v>64</v>
      </c>
      <c r="F44" s="7" t="s">
        <v>25</v>
      </c>
      <c r="G44" s="7" t="s">
        <v>20</v>
      </c>
      <c r="H44" s="8">
        <v>46097</v>
      </c>
      <c r="I44" s="8">
        <v>46104</v>
      </c>
      <c r="J44" s="14">
        <v>46091</v>
      </c>
      <c r="K44" s="9" t="str">
        <f t="shared" ref="K44:K71" ca="1" si="5">IF(OR(L44="CONCLUÍDO",L44="TBD",I44=""),"-",I44-TODAY())</f>
        <v>-</v>
      </c>
      <c r="L44" s="10" t="str">
        <f t="shared" ca="1" si="1"/>
        <v>CONCLUÍDO</v>
      </c>
      <c r="M44" s="11">
        <f t="shared" ref="M44:M73" ca="1" si="6">IF(L44="CONCLUÍDO",2,IF(L44="NO PRAZO",3,IF(L44="ENTREGA IMEDIATA",1,IF(L44="ATRASADO",0))))</f>
        <v>2</v>
      </c>
      <c r="N44" s="12" t="s">
        <v>73</v>
      </c>
    </row>
    <row r="45" spans="2:14" s="12" customFormat="1" ht="15.6" customHeight="1" x14ac:dyDescent="0.3">
      <c r="B45" s="19" t="s">
        <v>62</v>
      </c>
      <c r="C45" s="16" t="s">
        <v>56</v>
      </c>
      <c r="D45" s="13" t="s">
        <v>17</v>
      </c>
      <c r="E45" s="7" t="s">
        <v>64</v>
      </c>
      <c r="F45" s="7" t="s">
        <v>25</v>
      </c>
      <c r="G45" s="7" t="s">
        <v>20</v>
      </c>
      <c r="H45" s="10">
        <v>46097</v>
      </c>
      <c r="I45" s="8">
        <v>46098</v>
      </c>
      <c r="J45" s="14">
        <v>46098</v>
      </c>
      <c r="K45" s="9" t="str">
        <f t="shared" ca="1" si="5"/>
        <v>-</v>
      </c>
      <c r="L45" s="10" t="str">
        <f t="shared" ca="1" si="1"/>
        <v>CONCLUÍDO</v>
      </c>
      <c r="M45" s="11">
        <f t="shared" ca="1" si="6"/>
        <v>2</v>
      </c>
      <c r="N45" s="13" t="s">
        <v>74</v>
      </c>
    </row>
    <row r="46" spans="2:14" s="12" customFormat="1" ht="15.6" customHeight="1" x14ac:dyDescent="0.3">
      <c r="B46" s="19" t="s">
        <v>62</v>
      </c>
      <c r="C46" s="12" t="s">
        <v>70</v>
      </c>
      <c r="D46" s="13" t="s">
        <v>17</v>
      </c>
      <c r="E46" s="13" t="s">
        <v>64</v>
      </c>
      <c r="F46" s="7" t="s">
        <v>19</v>
      </c>
      <c r="G46" s="7" t="s">
        <v>20</v>
      </c>
      <c r="H46" s="8">
        <v>46100</v>
      </c>
      <c r="I46" s="14">
        <v>46101</v>
      </c>
      <c r="J46" s="14">
        <v>46101</v>
      </c>
      <c r="K46" s="17" t="str">
        <f t="shared" ca="1" si="5"/>
        <v>-</v>
      </c>
      <c r="L46" s="10" t="str">
        <f t="shared" ca="1" si="1"/>
        <v>CONCLUÍDO</v>
      </c>
      <c r="M46" s="11">
        <f t="shared" ca="1" si="6"/>
        <v>2</v>
      </c>
      <c r="N46" s="12" t="s">
        <v>71</v>
      </c>
    </row>
    <row r="47" spans="2:14" s="12" customFormat="1" ht="15.6" customHeight="1" x14ac:dyDescent="0.3">
      <c r="B47" s="19" t="s">
        <v>62</v>
      </c>
      <c r="C47" s="6" t="s">
        <v>75</v>
      </c>
      <c r="D47" s="13" t="s">
        <v>17</v>
      </c>
      <c r="E47" s="13" t="s">
        <v>64</v>
      </c>
      <c r="F47" s="7" t="s">
        <v>25</v>
      </c>
      <c r="G47" s="7" t="s">
        <v>20</v>
      </c>
      <c r="H47" s="8">
        <v>46101</v>
      </c>
      <c r="I47" s="8">
        <v>46108</v>
      </c>
      <c r="J47" s="14">
        <v>46108</v>
      </c>
      <c r="K47" s="9" t="str">
        <f t="shared" ca="1" si="5"/>
        <v>-</v>
      </c>
      <c r="L47" s="10" t="str">
        <f t="shared" ca="1" si="1"/>
        <v>CONCLUÍDO</v>
      </c>
      <c r="M47" s="11">
        <f t="shared" ca="1" si="6"/>
        <v>2</v>
      </c>
      <c r="N47" s="12" t="s">
        <v>76</v>
      </c>
    </row>
    <row r="48" spans="2:14" s="12" customFormat="1" ht="15.6" customHeight="1" x14ac:dyDescent="0.3">
      <c r="B48" s="19" t="s">
        <v>62</v>
      </c>
      <c r="C48" s="12" t="s">
        <v>77</v>
      </c>
      <c r="D48" s="13" t="s">
        <v>17</v>
      </c>
      <c r="E48" s="7" t="s">
        <v>64</v>
      </c>
      <c r="F48" s="7" t="s">
        <v>25</v>
      </c>
      <c r="G48" s="7" t="s">
        <v>20</v>
      </c>
      <c r="H48" s="8">
        <v>46101</v>
      </c>
      <c r="I48" s="14">
        <v>46108</v>
      </c>
      <c r="J48" s="14">
        <v>46108</v>
      </c>
      <c r="K48" s="17" t="str">
        <f t="shared" ca="1" si="5"/>
        <v>-</v>
      </c>
      <c r="L48" s="10" t="str">
        <f t="shared" ca="1" si="1"/>
        <v>CONCLUÍDO</v>
      </c>
      <c r="M48" s="11">
        <f t="shared" ca="1" si="6"/>
        <v>2</v>
      </c>
      <c r="N48" s="12" t="s">
        <v>78</v>
      </c>
    </row>
    <row r="49" spans="2:14" s="12" customFormat="1" ht="15.6" customHeight="1" x14ac:dyDescent="0.3">
      <c r="B49" s="19" t="s">
        <v>62</v>
      </c>
      <c r="C49" s="6" t="s">
        <v>68</v>
      </c>
      <c r="D49" s="13" t="s">
        <v>17</v>
      </c>
      <c r="E49" s="13" t="s">
        <v>64</v>
      </c>
      <c r="F49" s="13" t="s">
        <v>19</v>
      </c>
      <c r="G49" s="7" t="s">
        <v>20</v>
      </c>
      <c r="H49" s="10">
        <v>46104</v>
      </c>
      <c r="I49" s="10">
        <v>46108</v>
      </c>
      <c r="J49" s="14">
        <v>46108</v>
      </c>
      <c r="K49" s="9" t="str">
        <f t="shared" ca="1" si="5"/>
        <v>-</v>
      </c>
      <c r="L49" s="10" t="str">
        <f t="shared" ca="1" si="1"/>
        <v>CONCLUÍDO</v>
      </c>
      <c r="M49" s="11">
        <f t="shared" ca="1" si="6"/>
        <v>2</v>
      </c>
      <c r="N49" s="12" t="s">
        <v>69</v>
      </c>
    </row>
    <row r="50" spans="2:14" s="12" customFormat="1" ht="15.6" customHeight="1" x14ac:dyDescent="0.3">
      <c r="B50" s="19" t="s">
        <v>62</v>
      </c>
      <c r="C50" s="12" t="s">
        <v>70</v>
      </c>
      <c r="D50" s="13" t="s">
        <v>17</v>
      </c>
      <c r="E50" s="13" t="s">
        <v>64</v>
      </c>
      <c r="F50" s="7" t="s">
        <v>19</v>
      </c>
      <c r="G50" s="7" t="s">
        <v>20</v>
      </c>
      <c r="H50" s="8">
        <v>46107</v>
      </c>
      <c r="I50" s="14">
        <v>46108</v>
      </c>
      <c r="J50" s="14">
        <v>46108</v>
      </c>
      <c r="K50" s="17" t="str">
        <f t="shared" ca="1" si="5"/>
        <v>-</v>
      </c>
      <c r="L50" s="10" t="str">
        <f t="shared" ca="1" si="1"/>
        <v>CONCLUÍDO</v>
      </c>
      <c r="M50" s="11">
        <f t="shared" ca="1" si="6"/>
        <v>2</v>
      </c>
      <c r="N50" s="12" t="s">
        <v>71</v>
      </c>
    </row>
    <row r="51" spans="2:14" s="12" customFormat="1" ht="15.6" customHeight="1" x14ac:dyDescent="0.3">
      <c r="B51" s="19" t="s">
        <v>79</v>
      </c>
      <c r="C51" s="12" t="s">
        <v>80</v>
      </c>
      <c r="D51" s="12" t="s">
        <v>17</v>
      </c>
      <c r="E51" s="12" t="s">
        <v>81</v>
      </c>
      <c r="F51" s="12" t="s">
        <v>19</v>
      </c>
      <c r="G51" s="12" t="s">
        <v>20</v>
      </c>
      <c r="H51" s="14">
        <v>46086</v>
      </c>
      <c r="I51" s="14">
        <v>46086</v>
      </c>
      <c r="J51" s="14">
        <v>46087</v>
      </c>
      <c r="K51" s="9">
        <f t="shared" ca="1" si="5"/>
        <v>-40</v>
      </c>
      <c r="L51" s="10" t="str">
        <f t="shared" ca="1" si="1"/>
        <v>CONCLUÍDO COM ATRASO</v>
      </c>
      <c r="M51" s="11" t="b">
        <f t="shared" ca="1" si="6"/>
        <v>0</v>
      </c>
      <c r="N51" s="12" t="s">
        <v>82</v>
      </c>
    </row>
    <row r="52" spans="2:14" s="12" customFormat="1" ht="15.6" customHeight="1" x14ac:dyDescent="0.3">
      <c r="B52" s="19" t="s">
        <v>79</v>
      </c>
      <c r="C52" s="6" t="s">
        <v>83</v>
      </c>
      <c r="D52" s="12" t="s">
        <v>17</v>
      </c>
      <c r="E52" s="7" t="s">
        <v>81</v>
      </c>
      <c r="F52" s="13" t="s">
        <v>25</v>
      </c>
      <c r="G52" s="12" t="s">
        <v>20</v>
      </c>
      <c r="H52" s="10">
        <v>46083</v>
      </c>
      <c r="I52" s="10">
        <v>46087</v>
      </c>
      <c r="J52" s="14">
        <v>46090</v>
      </c>
      <c r="K52" s="9">
        <f t="shared" ca="1" si="5"/>
        <v>-39</v>
      </c>
      <c r="L52" s="10" t="str">
        <f t="shared" ca="1" si="1"/>
        <v>CONCLUÍDO COM ATRASO</v>
      </c>
      <c r="M52" s="11" t="b">
        <f t="shared" ca="1" si="6"/>
        <v>0</v>
      </c>
      <c r="N52" s="12" t="s">
        <v>84</v>
      </c>
    </row>
    <row r="53" spans="2:14" s="12" customFormat="1" ht="15.6" customHeight="1" x14ac:dyDescent="0.3">
      <c r="B53" s="19" t="s">
        <v>79</v>
      </c>
      <c r="C53" s="18" t="s">
        <v>85</v>
      </c>
      <c r="D53" s="12" t="s">
        <v>17</v>
      </c>
      <c r="E53" s="7" t="s">
        <v>81</v>
      </c>
      <c r="F53" s="13" t="s">
        <v>25</v>
      </c>
      <c r="G53" s="12" t="s">
        <v>20</v>
      </c>
      <c r="H53" s="8">
        <v>46090</v>
      </c>
      <c r="I53" s="8">
        <v>46090</v>
      </c>
      <c r="J53" s="14">
        <v>46090</v>
      </c>
      <c r="K53" s="9" t="str">
        <f t="shared" ca="1" si="5"/>
        <v>-</v>
      </c>
      <c r="L53" s="10" t="str">
        <f t="shared" ca="1" si="1"/>
        <v>CONCLUÍDO</v>
      </c>
      <c r="M53" s="11">
        <f t="shared" ca="1" si="6"/>
        <v>2</v>
      </c>
      <c r="N53" s="12" t="s">
        <v>86</v>
      </c>
    </row>
    <row r="54" spans="2:14" s="12" customFormat="1" ht="15.6" customHeight="1" x14ac:dyDescent="0.3">
      <c r="B54" s="19" t="s">
        <v>79</v>
      </c>
      <c r="C54" s="6" t="s">
        <v>87</v>
      </c>
      <c r="D54" s="12" t="s">
        <v>17</v>
      </c>
      <c r="E54" s="7" t="s">
        <v>81</v>
      </c>
      <c r="F54" s="13" t="s">
        <v>25</v>
      </c>
      <c r="G54" s="12" t="s">
        <v>20</v>
      </c>
      <c r="H54" s="10">
        <v>46091</v>
      </c>
      <c r="I54" s="10">
        <v>46091</v>
      </c>
      <c r="J54" s="14">
        <v>46091</v>
      </c>
      <c r="K54" s="9" t="str">
        <f t="shared" ca="1" si="5"/>
        <v>-</v>
      </c>
      <c r="L54" s="10" t="str">
        <f t="shared" ca="1" si="1"/>
        <v>CONCLUÍDO</v>
      </c>
      <c r="M54" s="11">
        <f t="shared" ca="1" si="6"/>
        <v>2</v>
      </c>
      <c r="N54" s="13" t="s">
        <v>88</v>
      </c>
    </row>
    <row r="55" spans="2:14" s="12" customFormat="1" ht="15.6" customHeight="1" x14ac:dyDescent="0.3">
      <c r="B55" s="19" t="s">
        <v>79</v>
      </c>
      <c r="C55" s="12" t="s">
        <v>80</v>
      </c>
      <c r="D55" s="12" t="s">
        <v>17</v>
      </c>
      <c r="E55" s="7" t="s">
        <v>81</v>
      </c>
      <c r="F55" s="12" t="s">
        <v>19</v>
      </c>
      <c r="G55" s="12" t="s">
        <v>20</v>
      </c>
      <c r="H55" s="10">
        <v>46093</v>
      </c>
      <c r="I55" s="10">
        <v>46093</v>
      </c>
      <c r="J55" s="14">
        <v>46093</v>
      </c>
      <c r="K55" s="9" t="str">
        <f t="shared" ca="1" si="5"/>
        <v>-</v>
      </c>
      <c r="L55" s="10" t="str">
        <f t="shared" ca="1" si="1"/>
        <v>CONCLUÍDO</v>
      </c>
      <c r="M55" s="11">
        <f t="shared" ca="1" si="6"/>
        <v>2</v>
      </c>
      <c r="N55" s="13" t="s">
        <v>89</v>
      </c>
    </row>
    <row r="56" spans="2:14" s="12" customFormat="1" ht="15.6" customHeight="1" x14ac:dyDescent="0.3">
      <c r="B56" s="19" t="s">
        <v>79</v>
      </c>
      <c r="C56" s="18" t="s">
        <v>90</v>
      </c>
      <c r="D56" s="12" t="s">
        <v>17</v>
      </c>
      <c r="E56" s="7" t="s">
        <v>81</v>
      </c>
      <c r="F56" s="13" t="s">
        <v>25</v>
      </c>
      <c r="G56" s="12" t="s">
        <v>20</v>
      </c>
      <c r="H56" s="10">
        <v>46082</v>
      </c>
      <c r="I56" s="10">
        <v>46096</v>
      </c>
      <c r="J56" s="14">
        <v>46096</v>
      </c>
      <c r="K56" s="9" t="str">
        <f t="shared" ca="1" si="5"/>
        <v>-</v>
      </c>
      <c r="L56" s="10" t="str">
        <f t="shared" ca="1" si="1"/>
        <v>CONCLUÍDO</v>
      </c>
      <c r="M56" s="11">
        <f t="shared" ca="1" si="6"/>
        <v>2</v>
      </c>
      <c r="N56" s="13" t="s">
        <v>91</v>
      </c>
    </row>
    <row r="57" spans="2:14" s="12" customFormat="1" ht="15.6" customHeight="1" x14ac:dyDescent="0.3">
      <c r="B57" s="19" t="s">
        <v>79</v>
      </c>
      <c r="C57" s="18" t="s">
        <v>92</v>
      </c>
      <c r="D57" s="12" t="s">
        <v>17</v>
      </c>
      <c r="E57" s="7" t="s">
        <v>81</v>
      </c>
      <c r="F57" s="13" t="s">
        <v>25</v>
      </c>
      <c r="G57" s="12" t="s">
        <v>20</v>
      </c>
      <c r="H57" s="10">
        <v>46097</v>
      </c>
      <c r="I57" s="10">
        <v>46097</v>
      </c>
      <c r="J57" s="14">
        <v>46097</v>
      </c>
      <c r="K57" s="9" t="str">
        <f t="shared" ca="1" si="5"/>
        <v>-</v>
      </c>
      <c r="L57" s="10" t="str">
        <f t="shared" ca="1" si="1"/>
        <v>CONCLUÍDO</v>
      </c>
      <c r="M57" s="11">
        <f t="shared" ca="1" si="6"/>
        <v>2</v>
      </c>
      <c r="N57" s="12" t="s">
        <v>93</v>
      </c>
    </row>
    <row r="58" spans="2:14" ht="15.6" customHeight="1" x14ac:dyDescent="0.3">
      <c r="B58" s="19" t="s">
        <v>79</v>
      </c>
      <c r="C58" s="12" t="s">
        <v>80</v>
      </c>
      <c r="D58" s="12" t="s">
        <v>17</v>
      </c>
      <c r="E58" s="7" t="s">
        <v>81</v>
      </c>
      <c r="F58" s="12" t="s">
        <v>19</v>
      </c>
      <c r="G58" s="12" t="s">
        <v>20</v>
      </c>
      <c r="H58" s="10">
        <v>46100</v>
      </c>
      <c r="I58" s="10">
        <v>46100</v>
      </c>
      <c r="J58" s="14">
        <v>46100</v>
      </c>
      <c r="K58" s="9" t="str">
        <f t="shared" ca="1" si="5"/>
        <v>-</v>
      </c>
      <c r="L58" s="10" t="str">
        <f t="shared" ca="1" si="1"/>
        <v>CONCLUÍDO</v>
      </c>
      <c r="M58" s="11">
        <f t="shared" ca="1" si="6"/>
        <v>2</v>
      </c>
      <c r="N58" s="13" t="s">
        <v>94</v>
      </c>
    </row>
    <row r="59" spans="2:14" ht="15.6" customHeight="1" x14ac:dyDescent="0.3">
      <c r="B59" s="19" t="s">
        <v>79</v>
      </c>
      <c r="C59" s="18" t="s">
        <v>95</v>
      </c>
      <c r="D59" s="12" t="s">
        <v>17</v>
      </c>
      <c r="E59" s="7" t="s">
        <v>81</v>
      </c>
      <c r="F59" s="13" t="s">
        <v>25</v>
      </c>
      <c r="G59" s="12" t="s">
        <v>20</v>
      </c>
      <c r="H59" s="10">
        <v>46100</v>
      </c>
      <c r="I59" s="10">
        <v>46107</v>
      </c>
      <c r="J59" s="14">
        <v>46107</v>
      </c>
      <c r="K59" s="9" t="str">
        <f t="shared" ca="1" si="5"/>
        <v>-</v>
      </c>
      <c r="L59" s="10" t="str">
        <f t="shared" ca="1" si="1"/>
        <v>CONCLUÍDO</v>
      </c>
      <c r="M59" s="11">
        <f t="shared" ca="1" si="6"/>
        <v>2</v>
      </c>
      <c r="N59" s="12" t="s">
        <v>96</v>
      </c>
    </row>
    <row r="60" spans="2:14" ht="15.6" customHeight="1" x14ac:dyDescent="0.3">
      <c r="B60" s="19" t="s">
        <v>79</v>
      </c>
      <c r="C60" s="12" t="s">
        <v>80</v>
      </c>
      <c r="D60" s="12" t="s">
        <v>17</v>
      </c>
      <c r="E60" s="7" t="s">
        <v>81</v>
      </c>
      <c r="F60" s="12" t="s">
        <v>19</v>
      </c>
      <c r="G60" s="12" t="s">
        <v>20</v>
      </c>
      <c r="H60" s="10">
        <v>46107</v>
      </c>
      <c r="I60" s="10">
        <v>46107</v>
      </c>
      <c r="J60" s="14">
        <v>46107</v>
      </c>
      <c r="K60" s="9" t="str">
        <f t="shared" ca="1" si="5"/>
        <v>-</v>
      </c>
      <c r="L60" s="10" t="str">
        <f t="shared" ca="1" si="1"/>
        <v>CONCLUÍDO</v>
      </c>
      <c r="M60" s="11">
        <f t="shared" ca="1" si="6"/>
        <v>2</v>
      </c>
      <c r="N60" s="13" t="s">
        <v>94</v>
      </c>
    </row>
    <row r="61" spans="2:14" ht="15.6" customHeight="1" x14ac:dyDescent="0.3">
      <c r="B61" s="19" t="s">
        <v>79</v>
      </c>
      <c r="C61" s="12" t="s">
        <v>97</v>
      </c>
      <c r="D61" s="12" t="s">
        <v>17</v>
      </c>
      <c r="E61" s="7" t="s">
        <v>81</v>
      </c>
      <c r="F61" s="13" t="s">
        <v>25</v>
      </c>
      <c r="G61" s="12" t="s">
        <v>20</v>
      </c>
      <c r="H61" s="10">
        <v>46108</v>
      </c>
      <c r="I61" s="10">
        <v>46108</v>
      </c>
      <c r="J61" s="14">
        <v>46108</v>
      </c>
      <c r="K61" s="9" t="str">
        <f t="shared" ca="1" si="5"/>
        <v>-</v>
      </c>
      <c r="L61" s="10" t="str">
        <f t="shared" ca="1" si="1"/>
        <v>CONCLUÍDO</v>
      </c>
      <c r="M61" s="11">
        <f t="shared" ca="1" si="6"/>
        <v>2</v>
      </c>
      <c r="N61" s="12" t="s">
        <v>98</v>
      </c>
    </row>
    <row r="62" spans="2:14" ht="15.6" customHeight="1" x14ac:dyDescent="0.3">
      <c r="B62" s="19" t="s">
        <v>79</v>
      </c>
      <c r="C62" s="6" t="s">
        <v>99</v>
      </c>
      <c r="D62" s="12" t="s">
        <v>17</v>
      </c>
      <c r="E62" s="7" t="s">
        <v>81</v>
      </c>
      <c r="F62" s="13" t="s">
        <v>25</v>
      </c>
      <c r="G62" s="12" t="s">
        <v>20</v>
      </c>
      <c r="H62" s="8">
        <v>46108</v>
      </c>
      <c r="I62" s="8">
        <v>46108</v>
      </c>
      <c r="J62" s="14">
        <v>46108</v>
      </c>
      <c r="K62" s="9" t="str">
        <f t="shared" ca="1" si="5"/>
        <v>-</v>
      </c>
      <c r="L62" s="10" t="str">
        <f t="shared" ca="1" si="1"/>
        <v>CONCLUÍDO</v>
      </c>
      <c r="M62" s="11">
        <f t="shared" ca="1" si="6"/>
        <v>2</v>
      </c>
      <c r="N62" s="12" t="s">
        <v>100</v>
      </c>
    </row>
    <row r="63" spans="2:14" ht="15.6" customHeight="1" x14ac:dyDescent="0.3">
      <c r="B63" s="19" t="s">
        <v>46</v>
      </c>
      <c r="C63" s="12" t="s">
        <v>101</v>
      </c>
      <c r="D63" s="13" t="s">
        <v>17</v>
      </c>
      <c r="E63" s="7" t="s">
        <v>48</v>
      </c>
      <c r="F63" s="7" t="s">
        <v>25</v>
      </c>
      <c r="G63" s="13" t="s">
        <v>36</v>
      </c>
      <c r="H63" s="8">
        <v>46111</v>
      </c>
      <c r="I63" s="8">
        <v>46111</v>
      </c>
      <c r="J63" s="14"/>
      <c r="K63" s="17">
        <f t="shared" ca="1" si="5"/>
        <v>-15</v>
      </c>
      <c r="L63" s="10" t="str">
        <f t="shared" ca="1" si="1"/>
        <v>ATRASADO</v>
      </c>
      <c r="M63" s="11">
        <f t="shared" ca="1" si="6"/>
        <v>0</v>
      </c>
      <c r="N63" s="12" t="s">
        <v>102</v>
      </c>
    </row>
    <row r="64" spans="2:14" ht="15.6" customHeight="1" x14ac:dyDescent="0.3">
      <c r="B64" s="19" t="s">
        <v>15</v>
      </c>
      <c r="C64" s="12" t="s">
        <v>109</v>
      </c>
      <c r="D64" s="13" t="s">
        <v>105</v>
      </c>
      <c r="E64" s="13" t="s">
        <v>18</v>
      </c>
      <c r="F64" s="7" t="s">
        <v>19</v>
      </c>
      <c r="G64" s="13" t="s">
        <v>36</v>
      </c>
      <c r="H64" s="14">
        <v>46114</v>
      </c>
      <c r="I64" s="14">
        <v>46115</v>
      </c>
      <c r="J64" s="14"/>
      <c r="K64" s="17">
        <f t="shared" ca="1" si="5"/>
        <v>-11</v>
      </c>
      <c r="L64" s="10" t="str">
        <f t="shared" ca="1" si="1"/>
        <v>ATRASADO</v>
      </c>
      <c r="M64" s="11">
        <f t="shared" ca="1" si="6"/>
        <v>0</v>
      </c>
      <c r="N64" s="12" t="s">
        <v>106</v>
      </c>
    </row>
    <row r="65" spans="2:14" ht="15.6" customHeight="1" x14ac:dyDescent="0.3">
      <c r="B65" s="19" t="s">
        <v>15</v>
      </c>
      <c r="C65" s="12" t="s">
        <v>16</v>
      </c>
      <c r="D65" s="13" t="s">
        <v>105</v>
      </c>
      <c r="E65" s="13" t="s">
        <v>18</v>
      </c>
      <c r="F65" s="7" t="s">
        <v>19</v>
      </c>
      <c r="G65" s="13" t="s">
        <v>36</v>
      </c>
      <c r="H65" s="14">
        <v>46114</v>
      </c>
      <c r="I65" s="14">
        <v>46115</v>
      </c>
      <c r="J65" s="14">
        <v>46114</v>
      </c>
      <c r="K65" s="17">
        <f t="shared" ca="1" si="5"/>
        <v>-11</v>
      </c>
      <c r="L65" s="10" t="str">
        <f t="shared" ca="1" si="1"/>
        <v>ATRASADO</v>
      </c>
      <c r="M65" s="11">
        <f t="shared" ca="1" si="6"/>
        <v>0</v>
      </c>
      <c r="N65" s="12" t="s">
        <v>106</v>
      </c>
    </row>
    <row r="66" spans="2:14" ht="15.6" customHeight="1" x14ac:dyDescent="0.3">
      <c r="B66" s="19" t="s">
        <v>15</v>
      </c>
      <c r="C66" s="12" t="s">
        <v>22</v>
      </c>
      <c r="D66" s="13" t="s">
        <v>105</v>
      </c>
      <c r="E66" s="13" t="s">
        <v>18</v>
      </c>
      <c r="F66" s="7" t="s">
        <v>19</v>
      </c>
      <c r="G66" s="13" t="s">
        <v>36</v>
      </c>
      <c r="H66" s="14">
        <v>46113</v>
      </c>
      <c r="I66" s="14">
        <v>46114</v>
      </c>
      <c r="J66" s="14">
        <v>46114</v>
      </c>
      <c r="K66" s="17">
        <f t="shared" ca="1" si="5"/>
        <v>-12</v>
      </c>
      <c r="L66" s="10" t="str">
        <f t="shared" ca="1" si="1"/>
        <v>ATRASADO</v>
      </c>
      <c r="M66" s="11">
        <f t="shared" ca="1" si="6"/>
        <v>0</v>
      </c>
      <c r="N66" s="12" t="s">
        <v>106</v>
      </c>
    </row>
    <row r="67" spans="2:14" ht="15.6" customHeight="1" x14ac:dyDescent="0.3">
      <c r="B67" s="19" t="s">
        <v>15</v>
      </c>
      <c r="C67" s="12" t="s">
        <v>103</v>
      </c>
      <c r="D67" s="13" t="s">
        <v>105</v>
      </c>
      <c r="E67" s="13" t="s">
        <v>18</v>
      </c>
      <c r="F67" s="7" t="s">
        <v>25</v>
      </c>
      <c r="G67" s="13" t="s">
        <v>36</v>
      </c>
      <c r="H67" s="14">
        <v>46114</v>
      </c>
      <c r="I67" s="14">
        <v>46115</v>
      </c>
      <c r="K67" s="17">
        <f t="shared" ca="1" si="5"/>
        <v>-11</v>
      </c>
      <c r="L67" s="10" t="str">
        <f t="shared" ca="1" si="1"/>
        <v>ATRASADO</v>
      </c>
      <c r="M67" s="11">
        <f t="shared" ca="1" si="6"/>
        <v>0</v>
      </c>
      <c r="N67" s="12" t="s">
        <v>107</v>
      </c>
    </row>
    <row r="68" spans="2:14" ht="15.6" customHeight="1" x14ac:dyDescent="0.3">
      <c r="B68" s="19" t="s">
        <v>15</v>
      </c>
      <c r="C68" s="12" t="s">
        <v>24</v>
      </c>
      <c r="D68" s="13" t="s">
        <v>105</v>
      </c>
      <c r="E68" s="13" t="s">
        <v>18</v>
      </c>
      <c r="F68" s="7" t="s">
        <v>25</v>
      </c>
      <c r="G68" s="13" t="s">
        <v>36</v>
      </c>
      <c r="H68" s="14">
        <v>46113</v>
      </c>
      <c r="I68" s="14">
        <v>46121</v>
      </c>
      <c r="J68" s="14">
        <v>46118</v>
      </c>
      <c r="K68" s="17">
        <f t="shared" ca="1" si="5"/>
        <v>-5</v>
      </c>
      <c r="L68" s="10" t="str">
        <f t="shared" ca="1" si="1"/>
        <v>ATRASADO</v>
      </c>
      <c r="M68" s="11">
        <f t="shared" ca="1" si="6"/>
        <v>0</v>
      </c>
      <c r="N68" s="12" t="s">
        <v>107</v>
      </c>
    </row>
    <row r="69" spans="2:14" ht="15.6" customHeight="1" x14ac:dyDescent="0.3">
      <c r="B69" s="19" t="s">
        <v>15</v>
      </c>
      <c r="C69" s="12" t="s">
        <v>27</v>
      </c>
      <c r="D69" s="13" t="s">
        <v>105</v>
      </c>
      <c r="E69" s="13" t="s">
        <v>18</v>
      </c>
      <c r="F69" s="7" t="s">
        <v>25</v>
      </c>
      <c r="G69" s="13" t="s">
        <v>36</v>
      </c>
      <c r="H69" s="14">
        <v>46117</v>
      </c>
      <c r="I69" s="14">
        <v>46122</v>
      </c>
      <c r="J69" s="14">
        <v>46120</v>
      </c>
      <c r="K69" s="17">
        <f t="shared" ca="1" si="5"/>
        <v>-4</v>
      </c>
      <c r="L69" s="10" t="str">
        <f t="shared" ref="L69:L131" ca="1" si="7">IF(I69="","TBD",IF(G69="finalizado",IF(AND(J69&lt;&gt;"",J69&gt;I69),"CONCLUÍDO COM ATRASO","CONCLUÍDO"),IF(TODAY()&gt;I69,"ATRASADO",IF(TODAY()=I69,"ENTREGA IMEDIATA","NO PRAZO"))))</f>
        <v>ATRASADO</v>
      </c>
      <c r="M69" s="11">
        <f t="shared" ca="1" si="6"/>
        <v>0</v>
      </c>
      <c r="N69" s="12" t="s">
        <v>107</v>
      </c>
    </row>
    <row r="70" spans="2:14" ht="15.6" customHeight="1" x14ac:dyDescent="0.3">
      <c r="B70" s="19" t="s">
        <v>15</v>
      </c>
      <c r="C70" s="12" t="s">
        <v>109</v>
      </c>
      <c r="D70" s="13" t="s">
        <v>105</v>
      </c>
      <c r="E70" s="13" t="s">
        <v>18</v>
      </c>
      <c r="F70" s="7" t="s">
        <v>19</v>
      </c>
      <c r="G70" s="13" t="s">
        <v>36</v>
      </c>
      <c r="H70" s="14">
        <v>46118</v>
      </c>
      <c r="I70" s="14">
        <v>46119</v>
      </c>
      <c r="J70" s="14"/>
      <c r="K70" s="17">
        <f t="shared" ca="1" si="5"/>
        <v>-7</v>
      </c>
      <c r="L70" s="10" t="str">
        <f t="shared" ca="1" si="7"/>
        <v>ATRASADO</v>
      </c>
      <c r="M70" s="11">
        <f t="shared" ca="1" si="6"/>
        <v>0</v>
      </c>
      <c r="N70" s="12" t="s">
        <v>106</v>
      </c>
    </row>
    <row r="71" spans="2:14" ht="15.6" customHeight="1" x14ac:dyDescent="0.3">
      <c r="B71" s="19" t="s">
        <v>15</v>
      </c>
      <c r="C71" s="12" t="s">
        <v>31</v>
      </c>
      <c r="D71" s="13" t="s">
        <v>105</v>
      </c>
      <c r="E71" s="13" t="s">
        <v>18</v>
      </c>
      <c r="F71" s="7" t="s">
        <v>25</v>
      </c>
      <c r="G71" s="13" t="s">
        <v>36</v>
      </c>
      <c r="H71" s="14">
        <v>46122</v>
      </c>
      <c r="I71" s="14">
        <v>46122</v>
      </c>
      <c r="J71" s="14">
        <v>46118</v>
      </c>
      <c r="K71" s="17">
        <f t="shared" ca="1" si="5"/>
        <v>-4</v>
      </c>
      <c r="L71" s="10" t="str">
        <f t="shared" ca="1" si="7"/>
        <v>ATRASADO</v>
      </c>
      <c r="M71" s="11">
        <f t="shared" ca="1" si="6"/>
        <v>0</v>
      </c>
      <c r="N71" s="12" t="s">
        <v>107</v>
      </c>
    </row>
    <row r="72" spans="2:14" ht="15.6" customHeight="1" x14ac:dyDescent="0.3">
      <c r="B72" s="19" t="s">
        <v>15</v>
      </c>
      <c r="C72" s="12" t="s">
        <v>16</v>
      </c>
      <c r="D72" s="13" t="s">
        <v>105</v>
      </c>
      <c r="E72" s="13" t="s">
        <v>18</v>
      </c>
      <c r="F72" s="7" t="s">
        <v>19</v>
      </c>
      <c r="G72" s="13" t="s">
        <v>36</v>
      </c>
      <c r="H72" s="14">
        <v>46118</v>
      </c>
      <c r="I72" s="14">
        <v>46119</v>
      </c>
      <c r="J72" s="14">
        <v>46119</v>
      </c>
      <c r="K72" s="17">
        <f t="shared" ref="K72:K80" ca="1" si="8">IF(OR(L72="CONCLUÍDO",L72="TBD",I72=""),"-",I72-TODAY())</f>
        <v>-7</v>
      </c>
      <c r="L72" s="10" t="str">
        <f t="shared" ca="1" si="7"/>
        <v>ATRASADO</v>
      </c>
      <c r="M72" s="11">
        <f t="shared" ca="1" si="6"/>
        <v>0</v>
      </c>
      <c r="N72" s="12" t="s">
        <v>106</v>
      </c>
    </row>
    <row r="73" spans="2:14" ht="15.6" customHeight="1" x14ac:dyDescent="0.3">
      <c r="B73" s="19" t="s">
        <v>15</v>
      </c>
      <c r="C73" s="12" t="s">
        <v>22</v>
      </c>
      <c r="D73" s="13" t="s">
        <v>105</v>
      </c>
      <c r="E73" s="13" t="s">
        <v>18</v>
      </c>
      <c r="F73" s="7" t="s">
        <v>19</v>
      </c>
      <c r="G73" s="13" t="s">
        <v>36</v>
      </c>
      <c r="H73" s="14">
        <v>46120</v>
      </c>
      <c r="I73" s="14">
        <v>46122</v>
      </c>
      <c r="J73" s="14">
        <v>46121</v>
      </c>
      <c r="K73" s="17">
        <f ca="1">IF(OR(L73="CONCLUÍDO",L73="TBD",I73=""),"-",I73-TODAY())</f>
        <v>-4</v>
      </c>
      <c r="L73" s="10" t="str">
        <f t="shared" ca="1" si="7"/>
        <v>ATRASADO</v>
      </c>
      <c r="M73" s="11">
        <f t="shared" ca="1" si="6"/>
        <v>0</v>
      </c>
      <c r="N73" s="12" t="s">
        <v>106</v>
      </c>
    </row>
    <row r="74" spans="2:14" ht="15.6" customHeight="1" x14ac:dyDescent="0.3">
      <c r="B74" s="19" t="s">
        <v>15</v>
      </c>
      <c r="C74" s="25" t="s">
        <v>22</v>
      </c>
      <c r="D74" s="25" t="s">
        <v>105</v>
      </c>
      <c r="E74" s="25" t="s">
        <v>18</v>
      </c>
      <c r="F74" s="25" t="s">
        <v>19</v>
      </c>
      <c r="G74" s="32" t="s">
        <v>36</v>
      </c>
      <c r="H74" s="14">
        <v>46120</v>
      </c>
      <c r="I74" s="14">
        <v>46122</v>
      </c>
      <c r="J74" s="14">
        <v>46121</v>
      </c>
      <c r="K74" s="17">
        <f t="shared" ca="1" si="8"/>
        <v>-4</v>
      </c>
      <c r="L74" s="10" t="str">
        <f t="shared" ca="1" si="7"/>
        <v>ATRASADO</v>
      </c>
      <c r="N74" s="25" t="s">
        <v>106</v>
      </c>
    </row>
    <row r="75" spans="2:14" ht="15.6" customHeight="1" x14ac:dyDescent="0.3">
      <c r="B75" s="19" t="s">
        <v>15</v>
      </c>
      <c r="C75" s="25" t="s">
        <v>109</v>
      </c>
      <c r="D75" s="25" t="s">
        <v>17</v>
      </c>
      <c r="E75" s="25" t="s">
        <v>18</v>
      </c>
      <c r="F75" s="25" t="s">
        <v>19</v>
      </c>
      <c r="G75" s="32" t="s">
        <v>36</v>
      </c>
      <c r="H75" s="14">
        <v>46121</v>
      </c>
      <c r="I75" s="14">
        <v>46122</v>
      </c>
      <c r="J75" s="14"/>
      <c r="K75" s="17">
        <f t="shared" ca="1" si="8"/>
        <v>-4</v>
      </c>
      <c r="L75" s="10" t="str">
        <f t="shared" ca="1" si="7"/>
        <v>ATRASADO</v>
      </c>
      <c r="N75" s="25" t="s">
        <v>106</v>
      </c>
    </row>
    <row r="76" spans="2:14" ht="15.6" customHeight="1" x14ac:dyDescent="0.3">
      <c r="B76" s="19" t="s">
        <v>15</v>
      </c>
      <c r="C76" s="12" t="s">
        <v>108</v>
      </c>
      <c r="D76" s="13" t="s">
        <v>105</v>
      </c>
      <c r="E76" s="13" t="s">
        <v>18</v>
      </c>
      <c r="F76" s="7" t="s">
        <v>25</v>
      </c>
      <c r="G76" s="13" t="s">
        <v>36</v>
      </c>
      <c r="H76" s="14">
        <v>46122</v>
      </c>
      <c r="I76" s="14">
        <v>46122</v>
      </c>
      <c r="J76" s="14"/>
      <c r="K76" s="17">
        <f t="shared" ca="1" si="8"/>
        <v>-4</v>
      </c>
      <c r="L76" s="10" t="str">
        <f t="shared" ca="1" si="7"/>
        <v>ATRASADO</v>
      </c>
      <c r="M76" s="11">
        <f ca="1">IF(L76="CONCLUÍDO",2,IF(L76="NO PRAZO",3,IF(L76="ENTREGA IMEDIATA",1,IF(L76="ATRASADO",0))))</f>
        <v>0</v>
      </c>
      <c r="N76" s="12" t="s">
        <v>107</v>
      </c>
    </row>
    <row r="77" spans="2:14" ht="15.6" customHeight="1" x14ac:dyDescent="0.3">
      <c r="B77" s="19" t="s">
        <v>15</v>
      </c>
      <c r="C77" s="12" t="s">
        <v>40</v>
      </c>
      <c r="D77" s="13" t="s">
        <v>105</v>
      </c>
      <c r="E77" s="13" t="s">
        <v>18</v>
      </c>
      <c r="F77" s="7" t="s">
        <v>25</v>
      </c>
      <c r="G77" s="13" t="s">
        <v>36</v>
      </c>
      <c r="H77" s="14">
        <v>46122</v>
      </c>
      <c r="I77" s="14">
        <v>46132</v>
      </c>
      <c r="J77" s="14"/>
      <c r="K77" s="17">
        <f t="shared" ca="1" si="8"/>
        <v>6</v>
      </c>
      <c r="L77" s="10" t="str">
        <f t="shared" ca="1" si="7"/>
        <v>NO PRAZO</v>
      </c>
      <c r="M77" s="11">
        <f ca="1">IF(L77="CONCLUÍDO",2,IF(L77="NO PRAZO",3,IF(L77="ENTREGA IMEDIATA",1,IF(L77="ATRASADO",0))))</f>
        <v>3</v>
      </c>
      <c r="N77" s="12" t="s">
        <v>107</v>
      </c>
    </row>
    <row r="78" spans="2:14" ht="15.6" customHeight="1" x14ac:dyDescent="0.3">
      <c r="B78" s="19" t="s">
        <v>15</v>
      </c>
      <c r="C78" s="25" t="s">
        <v>109</v>
      </c>
      <c r="D78" s="25" t="s">
        <v>17</v>
      </c>
      <c r="E78" s="25" t="s">
        <v>18</v>
      </c>
      <c r="F78" s="25" t="s">
        <v>19</v>
      </c>
      <c r="G78" s="32" t="s">
        <v>36</v>
      </c>
      <c r="H78" s="14">
        <v>46125</v>
      </c>
      <c r="I78" s="14">
        <v>46126</v>
      </c>
      <c r="J78" s="14"/>
      <c r="K78" s="17">
        <f t="shared" ca="1" si="8"/>
        <v>0</v>
      </c>
      <c r="L78" s="10" t="str">
        <f t="shared" ca="1" si="7"/>
        <v>ENTREGA IMEDIATA</v>
      </c>
      <c r="N78" s="25" t="s">
        <v>106</v>
      </c>
    </row>
    <row r="79" spans="2:14" ht="15.6" customHeight="1" x14ac:dyDescent="0.3">
      <c r="B79" s="19" t="s">
        <v>15</v>
      </c>
      <c r="C79" s="25" t="s">
        <v>16</v>
      </c>
      <c r="D79" s="25" t="s">
        <v>105</v>
      </c>
      <c r="E79" s="25" t="s">
        <v>18</v>
      </c>
      <c r="F79" s="25" t="s">
        <v>19</v>
      </c>
      <c r="G79" s="32" t="s">
        <v>36</v>
      </c>
      <c r="H79" s="14">
        <v>46125</v>
      </c>
      <c r="I79" s="14">
        <v>46126</v>
      </c>
      <c r="J79" s="14"/>
      <c r="K79" s="17">
        <f t="shared" ca="1" si="8"/>
        <v>0</v>
      </c>
      <c r="L79" s="10" t="str">
        <f t="shared" ca="1" si="7"/>
        <v>ENTREGA IMEDIATA</v>
      </c>
      <c r="M79" s="25"/>
      <c r="N79" s="25" t="s">
        <v>106</v>
      </c>
    </row>
    <row r="80" spans="2:14" ht="15.6" customHeight="1" x14ac:dyDescent="0.3">
      <c r="B80" s="19" t="s">
        <v>15</v>
      </c>
      <c r="C80" s="12" t="s">
        <v>22</v>
      </c>
      <c r="D80" s="13" t="s">
        <v>105</v>
      </c>
      <c r="E80" s="13" t="s">
        <v>18</v>
      </c>
      <c r="F80" s="7" t="s">
        <v>19</v>
      </c>
      <c r="G80" s="13" t="s">
        <v>36</v>
      </c>
      <c r="H80" s="14">
        <v>46127</v>
      </c>
      <c r="I80" s="14">
        <v>46129</v>
      </c>
      <c r="J80" s="14"/>
      <c r="K80" s="17">
        <f t="shared" ca="1" si="8"/>
        <v>3</v>
      </c>
      <c r="L80" s="10" t="str">
        <f t="shared" ca="1" si="7"/>
        <v>NO PRAZO</v>
      </c>
      <c r="M80" s="11">
        <f t="shared" ref="M80:M88" ca="1" si="9">IF(L80="CONCLUÍDO",2,IF(L80="NO PRAZO",3,IF(L80="ENTREGA IMEDIATA",1,IF(L80="ATRASADO",0))))</f>
        <v>3</v>
      </c>
      <c r="N80" s="12" t="s">
        <v>106</v>
      </c>
    </row>
    <row r="81" spans="2:14" ht="15.6" customHeight="1" x14ac:dyDescent="0.3">
      <c r="B81" s="19" t="s">
        <v>46</v>
      </c>
      <c r="C81" s="12" t="s">
        <v>47</v>
      </c>
      <c r="D81" s="13" t="s">
        <v>105</v>
      </c>
      <c r="E81" s="13" t="s">
        <v>48</v>
      </c>
      <c r="F81" s="7" t="s">
        <v>38</v>
      </c>
      <c r="G81" s="13" t="s">
        <v>36</v>
      </c>
      <c r="H81" s="14">
        <v>46254</v>
      </c>
      <c r="I81" s="14">
        <v>46271</v>
      </c>
      <c r="K81" s="17">
        <f t="shared" ref="K81:K107" ca="1" si="10">IF(OR(L81="CONCLUÍDO",L81="TBD",I81=""),"-",I81-TODAY())</f>
        <v>145</v>
      </c>
      <c r="L81" s="10" t="str">
        <f t="shared" ca="1" si="7"/>
        <v>NO PRAZO</v>
      </c>
      <c r="M81" s="11">
        <f t="shared" ca="1" si="9"/>
        <v>3</v>
      </c>
      <c r="N81" s="12" t="s">
        <v>110</v>
      </c>
    </row>
    <row r="82" spans="2:14" ht="15.6" customHeight="1" x14ac:dyDescent="0.3">
      <c r="B82" s="19" t="s">
        <v>46</v>
      </c>
      <c r="C82" s="12" t="s">
        <v>50</v>
      </c>
      <c r="D82" s="13" t="s">
        <v>105</v>
      </c>
      <c r="E82" s="13" t="s">
        <v>48</v>
      </c>
      <c r="F82" s="7" t="s">
        <v>19</v>
      </c>
      <c r="G82" s="13" t="s">
        <v>36</v>
      </c>
      <c r="H82" s="14">
        <v>46115</v>
      </c>
      <c r="I82" s="14">
        <v>46116</v>
      </c>
      <c r="K82" s="17">
        <f t="shared" ca="1" si="10"/>
        <v>-10</v>
      </c>
      <c r="L82" s="10" t="str">
        <f t="shared" ca="1" si="7"/>
        <v>ATRASADO</v>
      </c>
      <c r="M82" s="11">
        <f t="shared" ca="1" si="9"/>
        <v>0</v>
      </c>
      <c r="N82" s="12" t="s">
        <v>106</v>
      </c>
    </row>
    <row r="83" spans="2:14" ht="15.6" customHeight="1" x14ac:dyDescent="0.3">
      <c r="B83" s="19" t="s">
        <v>46</v>
      </c>
      <c r="C83" s="12" t="s">
        <v>52</v>
      </c>
      <c r="D83" s="13" t="s">
        <v>105</v>
      </c>
      <c r="E83" s="13" t="s">
        <v>48</v>
      </c>
      <c r="F83" s="7" t="s">
        <v>19</v>
      </c>
      <c r="G83" s="13" t="s">
        <v>36</v>
      </c>
      <c r="H83" s="14">
        <v>46115</v>
      </c>
      <c r="I83" s="14">
        <v>46116</v>
      </c>
      <c r="K83" s="17">
        <f t="shared" ca="1" si="10"/>
        <v>-10</v>
      </c>
      <c r="L83" s="10" t="str">
        <f t="shared" ca="1" si="7"/>
        <v>ATRASADO</v>
      </c>
      <c r="M83" s="11">
        <f t="shared" ca="1" si="9"/>
        <v>0</v>
      </c>
      <c r="N83" s="12" t="s">
        <v>106</v>
      </c>
    </row>
    <row r="84" spans="2:14" ht="15.6" customHeight="1" x14ac:dyDescent="0.3">
      <c r="B84" s="19" t="s">
        <v>46</v>
      </c>
      <c r="C84" s="12" t="s">
        <v>54</v>
      </c>
      <c r="D84" s="13" t="s">
        <v>105</v>
      </c>
      <c r="E84" s="13" t="s">
        <v>48</v>
      </c>
      <c r="F84" s="7" t="s">
        <v>25</v>
      </c>
      <c r="G84" s="13" t="s">
        <v>36</v>
      </c>
      <c r="H84" s="14">
        <v>46122</v>
      </c>
      <c r="I84" s="14">
        <v>46122</v>
      </c>
      <c r="K84" s="17">
        <f t="shared" ca="1" si="10"/>
        <v>-4</v>
      </c>
      <c r="L84" s="10" t="str">
        <f t="shared" ca="1" si="7"/>
        <v>ATRASADO</v>
      </c>
      <c r="M84" s="11">
        <f t="shared" ca="1" si="9"/>
        <v>0</v>
      </c>
      <c r="N84" s="12" t="s">
        <v>107</v>
      </c>
    </row>
    <row r="85" spans="2:14" ht="15.6" customHeight="1" x14ac:dyDescent="0.3">
      <c r="B85" s="19" t="s">
        <v>46</v>
      </c>
      <c r="C85" s="12" t="s">
        <v>56</v>
      </c>
      <c r="D85" s="13" t="s">
        <v>105</v>
      </c>
      <c r="E85" s="13" t="s">
        <v>48</v>
      </c>
      <c r="F85" s="7" t="s">
        <v>25</v>
      </c>
      <c r="G85" s="13" t="s">
        <v>36</v>
      </c>
      <c r="H85" s="14">
        <v>46122</v>
      </c>
      <c r="I85" s="14">
        <v>46127</v>
      </c>
      <c r="K85" s="17">
        <f t="shared" ca="1" si="10"/>
        <v>1</v>
      </c>
      <c r="L85" s="10" t="str">
        <f t="shared" ca="1" si="7"/>
        <v>NO PRAZO</v>
      </c>
      <c r="M85" s="11">
        <f t="shared" ca="1" si="9"/>
        <v>3</v>
      </c>
      <c r="N85" s="12" t="s">
        <v>107</v>
      </c>
    </row>
    <row r="86" spans="2:14" ht="15.6" customHeight="1" x14ac:dyDescent="0.3">
      <c r="B86" s="19" t="s">
        <v>46</v>
      </c>
      <c r="C86" s="12" t="s">
        <v>57</v>
      </c>
      <c r="D86" s="13" t="s">
        <v>105</v>
      </c>
      <c r="E86" s="13" t="s">
        <v>48</v>
      </c>
      <c r="F86" s="7" t="s">
        <v>25</v>
      </c>
      <c r="G86" s="13" t="s">
        <v>36</v>
      </c>
      <c r="H86" s="14">
        <v>46132</v>
      </c>
      <c r="I86" s="14">
        <v>46132</v>
      </c>
      <c r="K86" s="17">
        <f t="shared" ca="1" si="10"/>
        <v>6</v>
      </c>
      <c r="L86" s="10" t="str">
        <f t="shared" ca="1" si="7"/>
        <v>NO PRAZO</v>
      </c>
      <c r="M86" s="11">
        <f t="shared" ca="1" si="9"/>
        <v>3</v>
      </c>
      <c r="N86" s="12" t="s">
        <v>107</v>
      </c>
    </row>
    <row r="87" spans="2:14" ht="15.6" customHeight="1" x14ac:dyDescent="0.3">
      <c r="B87" s="19" t="s">
        <v>62</v>
      </c>
      <c r="C87" s="12" t="s">
        <v>63</v>
      </c>
      <c r="D87" s="13" t="s">
        <v>105</v>
      </c>
      <c r="E87" s="13" t="s">
        <v>64</v>
      </c>
      <c r="F87" s="7" t="s">
        <v>25</v>
      </c>
      <c r="G87" s="13" t="s">
        <v>36</v>
      </c>
      <c r="H87" s="14">
        <v>46113</v>
      </c>
      <c r="I87" s="14">
        <v>46119</v>
      </c>
      <c r="J87" s="14">
        <v>46120</v>
      </c>
      <c r="K87" s="17">
        <f t="shared" ca="1" si="10"/>
        <v>-7</v>
      </c>
      <c r="L87" s="10" t="str">
        <f t="shared" ca="1" si="7"/>
        <v>ATRASADO</v>
      </c>
      <c r="M87" s="11">
        <f t="shared" ca="1" si="9"/>
        <v>0</v>
      </c>
      <c r="N87" s="12" t="s">
        <v>65</v>
      </c>
    </row>
    <row r="88" spans="2:14" ht="15.6" customHeight="1" x14ac:dyDescent="0.3">
      <c r="B88" s="19" t="s">
        <v>62</v>
      </c>
      <c r="C88" s="12" t="s">
        <v>66</v>
      </c>
      <c r="D88" s="13" t="s">
        <v>105</v>
      </c>
      <c r="E88" s="13" t="s">
        <v>64</v>
      </c>
      <c r="F88" s="7" t="s">
        <v>25</v>
      </c>
      <c r="G88" s="13" t="s">
        <v>36</v>
      </c>
      <c r="H88" s="14">
        <v>46113</v>
      </c>
      <c r="I88" s="14">
        <v>46119</v>
      </c>
      <c r="J88" s="14">
        <v>46127</v>
      </c>
      <c r="K88" s="17">
        <f t="shared" ca="1" si="10"/>
        <v>-7</v>
      </c>
      <c r="L88" s="10" t="str">
        <f t="shared" ca="1" si="7"/>
        <v>ATRASADO</v>
      </c>
      <c r="M88" s="11">
        <f t="shared" ca="1" si="9"/>
        <v>0</v>
      </c>
      <c r="N88" s="12" t="s">
        <v>67</v>
      </c>
    </row>
    <row r="89" spans="2:14" ht="15.6" customHeight="1" x14ac:dyDescent="0.3">
      <c r="B89" s="19" t="s">
        <v>62</v>
      </c>
      <c r="C89" s="12" t="s">
        <v>111</v>
      </c>
      <c r="D89" s="13" t="s">
        <v>105</v>
      </c>
      <c r="E89" s="13" t="s">
        <v>64</v>
      </c>
      <c r="F89" s="7" t="s">
        <v>60</v>
      </c>
      <c r="G89" s="13" t="s">
        <v>112</v>
      </c>
      <c r="H89" s="14">
        <v>46115</v>
      </c>
      <c r="I89" s="14">
        <v>46128</v>
      </c>
      <c r="J89" s="14"/>
      <c r="K89" s="17">
        <f t="shared" ca="1" si="10"/>
        <v>2</v>
      </c>
      <c r="L89" s="10" t="str">
        <f t="shared" ca="1" si="7"/>
        <v>NO PRAZO</v>
      </c>
      <c r="M89" s="11"/>
      <c r="N89" s="12" t="s">
        <v>113</v>
      </c>
    </row>
    <row r="90" spans="2:14" ht="15.6" customHeight="1" x14ac:dyDescent="0.3">
      <c r="B90" s="19" t="s">
        <v>62</v>
      </c>
      <c r="C90" s="12" t="s">
        <v>68</v>
      </c>
      <c r="D90" s="13" t="s">
        <v>105</v>
      </c>
      <c r="E90" s="13" t="s">
        <v>64</v>
      </c>
      <c r="F90" s="7" t="s">
        <v>19</v>
      </c>
      <c r="G90" s="13" t="s">
        <v>36</v>
      </c>
      <c r="H90" s="14">
        <v>46118</v>
      </c>
      <c r="I90" s="14">
        <v>46122</v>
      </c>
      <c r="J90" s="14"/>
      <c r="K90" s="17">
        <f t="shared" ca="1" si="10"/>
        <v>-4</v>
      </c>
      <c r="L90" s="10" t="str">
        <f t="shared" ca="1" si="7"/>
        <v>ATRASADO</v>
      </c>
      <c r="M90" s="11">
        <f t="shared" ref="M90:M107" ca="1" si="11">IF(L90="CONCLUÍDO",2,IF(L90="NO PRAZO",3,IF(L90="ENTREGA IMEDIATA",1,IF(L90="ATRASADO",0))))</f>
        <v>0</v>
      </c>
      <c r="N90" s="12" t="s">
        <v>69</v>
      </c>
    </row>
    <row r="91" spans="2:14" ht="15.6" customHeight="1" x14ac:dyDescent="0.3">
      <c r="B91" s="19" t="s">
        <v>62</v>
      </c>
      <c r="C91" s="12" t="s">
        <v>114</v>
      </c>
      <c r="D91" s="13" t="s">
        <v>105</v>
      </c>
      <c r="E91" s="13" t="s">
        <v>64</v>
      </c>
      <c r="F91" s="7" t="s">
        <v>19</v>
      </c>
      <c r="G91" s="13" t="s">
        <v>20</v>
      </c>
      <c r="H91" s="14">
        <v>46114</v>
      </c>
      <c r="I91" s="14">
        <v>46115</v>
      </c>
      <c r="J91" s="14">
        <v>46115</v>
      </c>
      <c r="K91" s="17" t="str">
        <f t="shared" ca="1" si="10"/>
        <v>-</v>
      </c>
      <c r="L91" s="10" t="str">
        <f t="shared" ca="1" si="7"/>
        <v>CONCLUÍDO</v>
      </c>
      <c r="M91" s="11">
        <f t="shared" ca="1" si="11"/>
        <v>2</v>
      </c>
      <c r="N91" s="12" t="s">
        <v>65</v>
      </c>
    </row>
    <row r="92" spans="2:14" ht="15.6" customHeight="1" x14ac:dyDescent="0.3">
      <c r="B92" s="19" t="s">
        <v>62</v>
      </c>
      <c r="C92" s="12" t="s">
        <v>115</v>
      </c>
      <c r="D92" s="13" t="s">
        <v>105</v>
      </c>
      <c r="E92" s="13" t="s">
        <v>64</v>
      </c>
      <c r="F92" s="7" t="s">
        <v>25</v>
      </c>
      <c r="G92" s="13" t="s">
        <v>112</v>
      </c>
      <c r="H92" s="14">
        <v>46113</v>
      </c>
      <c r="I92" s="14">
        <v>46122</v>
      </c>
      <c r="J92" s="14"/>
      <c r="K92" s="17">
        <f t="shared" ca="1" si="10"/>
        <v>-4</v>
      </c>
      <c r="L92" s="10" t="str">
        <f t="shared" ca="1" si="7"/>
        <v>ATRASADO</v>
      </c>
      <c r="M92" s="11">
        <f t="shared" ca="1" si="11"/>
        <v>0</v>
      </c>
      <c r="N92" s="12" t="s">
        <v>116</v>
      </c>
    </row>
    <row r="93" spans="2:14" ht="15.6" customHeight="1" x14ac:dyDescent="0.3">
      <c r="B93" s="19" t="s">
        <v>62</v>
      </c>
      <c r="C93" s="12" t="s">
        <v>72</v>
      </c>
      <c r="D93" s="13" t="s">
        <v>105</v>
      </c>
      <c r="E93" s="13" t="s">
        <v>64</v>
      </c>
      <c r="F93" s="7" t="s">
        <v>25</v>
      </c>
      <c r="G93" s="13" t="s">
        <v>112</v>
      </c>
      <c r="H93" s="14">
        <v>46113</v>
      </c>
      <c r="I93" s="14">
        <v>46126</v>
      </c>
      <c r="J93" s="23"/>
      <c r="K93" s="17">
        <f t="shared" ca="1" si="10"/>
        <v>0</v>
      </c>
      <c r="L93" s="10" t="str">
        <f t="shared" ca="1" si="7"/>
        <v>ENTREGA IMEDIATA</v>
      </c>
      <c r="M93" s="11">
        <f t="shared" ca="1" si="11"/>
        <v>1</v>
      </c>
      <c r="N93" s="12" t="s">
        <v>73</v>
      </c>
    </row>
    <row r="94" spans="2:14" ht="15.6" customHeight="1" x14ac:dyDescent="0.3">
      <c r="B94" s="19" t="s">
        <v>62</v>
      </c>
      <c r="C94" s="12" t="s">
        <v>56</v>
      </c>
      <c r="D94" s="13" t="s">
        <v>105</v>
      </c>
      <c r="E94" s="13" t="s">
        <v>64</v>
      </c>
      <c r="F94" s="7" t="s">
        <v>25</v>
      </c>
      <c r="G94" s="13" t="s">
        <v>36</v>
      </c>
      <c r="H94" s="14">
        <v>46128</v>
      </c>
      <c r="I94" s="14">
        <v>46129</v>
      </c>
      <c r="K94" s="17">
        <f t="shared" ca="1" si="10"/>
        <v>3</v>
      </c>
      <c r="L94" s="10" t="str">
        <f t="shared" ca="1" si="7"/>
        <v>NO PRAZO</v>
      </c>
      <c r="M94" s="11">
        <f t="shared" ca="1" si="11"/>
        <v>3</v>
      </c>
      <c r="N94" s="12" t="s">
        <v>117</v>
      </c>
    </row>
    <row r="95" spans="2:14" ht="15.6" customHeight="1" x14ac:dyDescent="0.3">
      <c r="B95" s="19" t="s">
        <v>62</v>
      </c>
      <c r="C95" s="12" t="s">
        <v>75</v>
      </c>
      <c r="D95" s="13" t="s">
        <v>105</v>
      </c>
      <c r="E95" s="13" t="s">
        <v>64</v>
      </c>
      <c r="F95" s="7" t="s">
        <v>25</v>
      </c>
      <c r="G95" s="13" t="s">
        <v>36</v>
      </c>
      <c r="H95" s="14">
        <v>46132</v>
      </c>
      <c r="I95" s="14">
        <v>46139</v>
      </c>
      <c r="K95" s="17">
        <f t="shared" ca="1" si="10"/>
        <v>13</v>
      </c>
      <c r="L95" s="10" t="str">
        <f t="shared" ca="1" si="7"/>
        <v>NO PRAZO</v>
      </c>
      <c r="M95" s="11">
        <f t="shared" ca="1" si="11"/>
        <v>3</v>
      </c>
      <c r="N95" s="12" t="s">
        <v>76</v>
      </c>
    </row>
    <row r="96" spans="2:14" ht="15.6" customHeight="1" x14ac:dyDescent="0.3">
      <c r="B96" s="19" t="s">
        <v>62</v>
      </c>
      <c r="C96" s="12" t="s">
        <v>77</v>
      </c>
      <c r="D96" s="13" t="s">
        <v>105</v>
      </c>
      <c r="E96" s="13" t="s">
        <v>64</v>
      </c>
      <c r="F96" s="7" t="s">
        <v>25</v>
      </c>
      <c r="G96" s="13" t="s">
        <v>36</v>
      </c>
      <c r="H96" s="14">
        <v>46132</v>
      </c>
      <c r="I96" s="14">
        <v>46139</v>
      </c>
      <c r="K96" s="17">
        <f t="shared" ca="1" si="10"/>
        <v>13</v>
      </c>
      <c r="L96" s="10" t="str">
        <f t="shared" ca="1" si="7"/>
        <v>NO PRAZO</v>
      </c>
      <c r="M96" s="11">
        <f t="shared" ca="1" si="11"/>
        <v>3</v>
      </c>
      <c r="N96" s="12" t="s">
        <v>78</v>
      </c>
    </row>
    <row r="97" spans="2:14" ht="15.6" customHeight="1" x14ac:dyDescent="0.3">
      <c r="B97" s="19" t="s">
        <v>79</v>
      </c>
      <c r="C97" s="12" t="s">
        <v>80</v>
      </c>
      <c r="D97" s="13" t="s">
        <v>105</v>
      </c>
      <c r="E97" s="13" t="s">
        <v>81</v>
      </c>
      <c r="F97" s="7" t="s">
        <v>19</v>
      </c>
      <c r="G97" s="13" t="s">
        <v>20</v>
      </c>
      <c r="H97" s="14">
        <v>46114</v>
      </c>
      <c r="I97" s="14">
        <v>46115</v>
      </c>
      <c r="J97" s="10">
        <v>46114</v>
      </c>
      <c r="K97" s="17" t="str">
        <f t="shared" ca="1" si="10"/>
        <v>-</v>
      </c>
      <c r="L97" s="10" t="str">
        <f t="shared" ca="1" si="7"/>
        <v>CONCLUÍDO</v>
      </c>
      <c r="M97" s="11">
        <f t="shared" ca="1" si="11"/>
        <v>2</v>
      </c>
      <c r="N97" s="12" t="s">
        <v>106</v>
      </c>
    </row>
    <row r="98" spans="2:14" ht="15.6" customHeight="1" x14ac:dyDescent="0.3">
      <c r="B98" s="19" t="s">
        <v>79</v>
      </c>
      <c r="C98" s="12" t="s">
        <v>83</v>
      </c>
      <c r="D98" s="13" t="s">
        <v>105</v>
      </c>
      <c r="E98" s="13" t="s">
        <v>81</v>
      </c>
      <c r="F98" s="7" t="s">
        <v>25</v>
      </c>
      <c r="G98" s="13" t="s">
        <v>20</v>
      </c>
      <c r="H98" s="14">
        <v>46114</v>
      </c>
      <c r="I98" s="14">
        <v>46118</v>
      </c>
      <c r="J98" s="10">
        <v>46118</v>
      </c>
      <c r="K98" s="17" t="str">
        <f t="shared" ca="1" si="10"/>
        <v>-</v>
      </c>
      <c r="L98" s="10" t="str">
        <f t="shared" ca="1" si="7"/>
        <v>CONCLUÍDO</v>
      </c>
      <c r="M98" s="11">
        <f t="shared" ca="1" si="11"/>
        <v>2</v>
      </c>
      <c r="N98" s="12" t="s">
        <v>107</v>
      </c>
    </row>
    <row r="99" spans="2:14" ht="15.6" customHeight="1" x14ac:dyDescent="0.3">
      <c r="B99" s="19" t="s">
        <v>79</v>
      </c>
      <c r="C99" s="12" t="s">
        <v>85</v>
      </c>
      <c r="D99" s="13" t="s">
        <v>105</v>
      </c>
      <c r="E99" s="13" t="s">
        <v>81</v>
      </c>
      <c r="F99" s="7" t="s">
        <v>25</v>
      </c>
      <c r="G99" s="13" t="s">
        <v>36</v>
      </c>
      <c r="H99" s="14">
        <v>46121</v>
      </c>
      <c r="I99" s="14">
        <v>46121</v>
      </c>
      <c r="J99" s="10">
        <v>46121</v>
      </c>
      <c r="K99" s="17">
        <f t="shared" ca="1" si="10"/>
        <v>-5</v>
      </c>
      <c r="L99" s="10" t="str">
        <f t="shared" ca="1" si="7"/>
        <v>ATRASADO</v>
      </c>
      <c r="M99" s="11">
        <f t="shared" ca="1" si="11"/>
        <v>0</v>
      </c>
      <c r="N99" s="12" t="s">
        <v>107</v>
      </c>
    </row>
    <row r="100" spans="2:14" ht="15.6" customHeight="1" x14ac:dyDescent="0.3">
      <c r="B100" s="19" t="s">
        <v>79</v>
      </c>
      <c r="C100" s="12" t="s">
        <v>87</v>
      </c>
      <c r="D100" s="13" t="s">
        <v>105</v>
      </c>
      <c r="E100" s="13" t="s">
        <v>81</v>
      </c>
      <c r="F100" s="7" t="s">
        <v>25</v>
      </c>
      <c r="G100" s="13" t="s">
        <v>36</v>
      </c>
      <c r="H100" s="14">
        <v>46126</v>
      </c>
      <c r="I100" s="14">
        <v>46126</v>
      </c>
      <c r="J100" s="10"/>
      <c r="K100" s="17">
        <f t="shared" ca="1" si="10"/>
        <v>0</v>
      </c>
      <c r="L100" s="10" t="str">
        <f t="shared" ca="1" si="7"/>
        <v>ENTREGA IMEDIATA</v>
      </c>
      <c r="M100" s="11">
        <f t="shared" ca="1" si="11"/>
        <v>1</v>
      </c>
      <c r="N100" s="12" t="s">
        <v>107</v>
      </c>
    </row>
    <row r="101" spans="2:14" ht="15.6" customHeight="1" x14ac:dyDescent="0.3">
      <c r="B101" s="19" t="s">
        <v>79</v>
      </c>
      <c r="C101" s="12" t="s">
        <v>118</v>
      </c>
      <c r="D101" s="13" t="s">
        <v>105</v>
      </c>
      <c r="E101" s="13" t="s">
        <v>81</v>
      </c>
      <c r="F101" s="7" t="s">
        <v>25</v>
      </c>
      <c r="G101" s="13" t="s">
        <v>112</v>
      </c>
      <c r="H101" s="14">
        <v>46113</v>
      </c>
      <c r="I101" s="14">
        <v>46122</v>
      </c>
      <c r="J101" s="10">
        <v>46121</v>
      </c>
      <c r="K101" s="17">
        <f t="shared" ca="1" si="10"/>
        <v>-4</v>
      </c>
      <c r="L101" s="10" t="str">
        <f t="shared" ca="1" si="7"/>
        <v>ATRASADO</v>
      </c>
      <c r="M101" s="11">
        <f t="shared" ca="1" si="11"/>
        <v>0</v>
      </c>
      <c r="N101" s="12" t="s">
        <v>107</v>
      </c>
    </row>
    <row r="102" spans="2:14" ht="15.6" customHeight="1" x14ac:dyDescent="0.3">
      <c r="B102" s="19" t="s">
        <v>79</v>
      </c>
      <c r="C102" s="12" t="s">
        <v>90</v>
      </c>
      <c r="D102" s="13" t="s">
        <v>105</v>
      </c>
      <c r="E102" s="13" t="s">
        <v>81</v>
      </c>
      <c r="F102" s="7" t="s">
        <v>25</v>
      </c>
      <c r="G102" s="13" t="s">
        <v>112</v>
      </c>
      <c r="H102" s="14">
        <v>46113</v>
      </c>
      <c r="I102" s="14">
        <v>46127</v>
      </c>
      <c r="J102" s="10"/>
      <c r="K102" s="17">
        <f t="shared" ca="1" si="10"/>
        <v>1</v>
      </c>
      <c r="L102" s="10" t="str">
        <f t="shared" ca="1" si="7"/>
        <v>NO PRAZO</v>
      </c>
      <c r="M102" s="11">
        <f t="shared" ca="1" si="11"/>
        <v>3</v>
      </c>
      <c r="N102" s="12" t="s">
        <v>107</v>
      </c>
    </row>
    <row r="103" spans="2:14" ht="15.6" customHeight="1" x14ac:dyDescent="0.3">
      <c r="B103" s="19" t="s">
        <v>79</v>
      </c>
      <c r="C103" s="12" t="s">
        <v>92</v>
      </c>
      <c r="D103" s="13" t="s">
        <v>105</v>
      </c>
      <c r="E103" s="13" t="s">
        <v>81</v>
      </c>
      <c r="F103" s="7" t="s">
        <v>25</v>
      </c>
      <c r="G103" s="13" t="s">
        <v>36</v>
      </c>
      <c r="H103" s="14">
        <v>46127</v>
      </c>
      <c r="I103" s="14">
        <v>46127</v>
      </c>
      <c r="J103" s="10"/>
      <c r="K103" s="17">
        <f t="shared" ca="1" si="10"/>
        <v>1</v>
      </c>
      <c r="L103" s="10" t="str">
        <f t="shared" ca="1" si="7"/>
        <v>NO PRAZO</v>
      </c>
      <c r="M103" s="11">
        <f t="shared" ca="1" si="11"/>
        <v>3</v>
      </c>
      <c r="N103" s="12" t="s">
        <v>107</v>
      </c>
    </row>
    <row r="104" spans="2:14" ht="15.6" customHeight="1" x14ac:dyDescent="0.3">
      <c r="B104" s="19" t="s">
        <v>79</v>
      </c>
      <c r="C104" s="12" t="s">
        <v>95</v>
      </c>
      <c r="D104" s="13" t="s">
        <v>105</v>
      </c>
      <c r="E104" s="13" t="s">
        <v>81</v>
      </c>
      <c r="F104" s="7" t="s">
        <v>25</v>
      </c>
      <c r="G104" s="13" t="s">
        <v>36</v>
      </c>
      <c r="H104" s="14">
        <v>46128</v>
      </c>
      <c r="I104" s="14">
        <v>46135</v>
      </c>
      <c r="J104" s="10"/>
      <c r="K104" s="17">
        <f t="shared" ca="1" si="10"/>
        <v>9</v>
      </c>
      <c r="L104" s="10" t="str">
        <f t="shared" ca="1" si="7"/>
        <v>NO PRAZO</v>
      </c>
      <c r="M104" s="11">
        <f t="shared" ca="1" si="11"/>
        <v>3</v>
      </c>
      <c r="N104" s="12" t="s">
        <v>107</v>
      </c>
    </row>
    <row r="105" spans="2:14" ht="15.6" customHeight="1" x14ac:dyDescent="0.3">
      <c r="B105" s="19" t="s">
        <v>79</v>
      </c>
      <c r="C105" s="12" t="s">
        <v>119</v>
      </c>
      <c r="D105" s="13" t="s">
        <v>105</v>
      </c>
      <c r="E105" s="13" t="s">
        <v>81</v>
      </c>
      <c r="F105" s="7" t="s">
        <v>25</v>
      </c>
      <c r="G105" s="13" t="s">
        <v>36</v>
      </c>
      <c r="H105" s="14">
        <v>46136</v>
      </c>
      <c r="I105" s="14">
        <v>46136</v>
      </c>
      <c r="J105" s="10"/>
      <c r="K105" s="17">
        <f t="shared" ca="1" si="10"/>
        <v>10</v>
      </c>
      <c r="L105" s="10" t="str">
        <f t="shared" ca="1" si="7"/>
        <v>NO PRAZO</v>
      </c>
      <c r="M105" s="11">
        <f t="shared" ca="1" si="11"/>
        <v>3</v>
      </c>
      <c r="N105" s="12" t="s">
        <v>107</v>
      </c>
    </row>
    <row r="106" spans="2:14" ht="15.6" customHeight="1" x14ac:dyDescent="0.3">
      <c r="B106" s="19" t="s">
        <v>79</v>
      </c>
      <c r="C106" s="12" t="s">
        <v>99</v>
      </c>
      <c r="D106" s="13" t="s">
        <v>105</v>
      </c>
      <c r="E106" s="13" t="s">
        <v>81</v>
      </c>
      <c r="F106" s="7" t="s">
        <v>25</v>
      </c>
      <c r="G106" s="13" t="s">
        <v>36</v>
      </c>
      <c r="H106" s="14">
        <v>46136</v>
      </c>
      <c r="I106" s="14">
        <v>46136</v>
      </c>
      <c r="J106" s="10"/>
      <c r="K106" s="17">
        <f t="shared" ca="1" si="10"/>
        <v>10</v>
      </c>
      <c r="L106" s="10" t="str">
        <f t="shared" ca="1" si="7"/>
        <v>NO PRAZO</v>
      </c>
      <c r="M106" s="11">
        <f t="shared" ca="1" si="11"/>
        <v>3</v>
      </c>
      <c r="N106" s="12" t="s">
        <v>107</v>
      </c>
    </row>
    <row r="107" spans="2:14" ht="15.6" customHeight="1" x14ac:dyDescent="0.3">
      <c r="B107" s="19" t="s">
        <v>46</v>
      </c>
      <c r="C107" s="12" t="s">
        <v>101</v>
      </c>
      <c r="D107" s="13" t="s">
        <v>105</v>
      </c>
      <c r="E107" s="13" t="s">
        <v>48</v>
      </c>
      <c r="F107" s="7" t="s">
        <v>25</v>
      </c>
      <c r="G107" s="13" t="s">
        <v>36</v>
      </c>
      <c r="H107" s="14">
        <v>46142</v>
      </c>
      <c r="I107" s="14">
        <v>46142</v>
      </c>
      <c r="K107" s="17">
        <f t="shared" ca="1" si="10"/>
        <v>16</v>
      </c>
      <c r="L107" s="10" t="str">
        <f t="shared" ca="1" si="7"/>
        <v>NO PRAZO</v>
      </c>
      <c r="M107" s="11">
        <f t="shared" ca="1" si="11"/>
        <v>3</v>
      </c>
      <c r="N107" s="12" t="s">
        <v>107</v>
      </c>
    </row>
    <row r="108" spans="2:14" ht="15.6" customHeight="1" x14ac:dyDescent="0.3">
      <c r="B108" s="19" t="s">
        <v>15</v>
      </c>
      <c r="C108" s="25" t="s">
        <v>22</v>
      </c>
      <c r="D108" s="25" t="s">
        <v>105</v>
      </c>
      <c r="E108" s="25" t="s">
        <v>18</v>
      </c>
      <c r="F108" s="25" t="s">
        <v>19</v>
      </c>
      <c r="G108" s="32" t="s">
        <v>36</v>
      </c>
      <c r="H108" s="14">
        <v>46127</v>
      </c>
      <c r="I108" s="14">
        <v>46128</v>
      </c>
      <c r="J108" s="14"/>
      <c r="K108" s="17">
        <f t="shared" ref="K108:K131" ca="1" si="12">IF(OR(L108="CONCLUÍDO",L108="TBD",I108=""),"-",I108-TODAY())</f>
        <v>2</v>
      </c>
      <c r="L108" s="10" t="str">
        <f t="shared" ca="1" si="7"/>
        <v>NO PRAZO</v>
      </c>
      <c r="M108" s="25"/>
      <c r="N108" s="25" t="s">
        <v>106</v>
      </c>
    </row>
    <row r="109" spans="2:14" ht="15.6" x14ac:dyDescent="0.3">
      <c r="B109" s="26" t="s">
        <v>15</v>
      </c>
      <c r="C109" s="3" t="s">
        <v>42</v>
      </c>
      <c r="D109" s="28" t="s">
        <v>105</v>
      </c>
      <c r="E109" s="28" t="s">
        <v>18</v>
      </c>
      <c r="F109" s="29" t="s">
        <v>25</v>
      </c>
      <c r="G109" s="28" t="s">
        <v>36</v>
      </c>
      <c r="H109" s="30">
        <v>46132</v>
      </c>
      <c r="I109" s="30">
        <v>46137</v>
      </c>
      <c r="K109" s="17">
        <f t="shared" ca="1" si="12"/>
        <v>11</v>
      </c>
      <c r="L109" s="10" t="str">
        <f t="shared" ca="1" si="7"/>
        <v>NO PRAZO</v>
      </c>
      <c r="M109" s="31">
        <f ca="1">IF(L109="CONCLUÍDO",2,IF(L109="NO PRAZO",3,IF(L109="ENTREGA IMEDIATA",1,IF(L109="ATRASADO",0))))</f>
        <v>3</v>
      </c>
      <c r="N109" s="3" t="s">
        <v>107</v>
      </c>
    </row>
    <row r="110" spans="2:14" ht="15.6" customHeight="1" x14ac:dyDescent="0.3">
      <c r="B110" s="19" t="s">
        <v>15</v>
      </c>
      <c r="C110" s="25" t="s">
        <v>16</v>
      </c>
      <c r="D110" s="25" t="s">
        <v>105</v>
      </c>
      <c r="E110" s="25" t="s">
        <v>18</v>
      </c>
      <c r="F110" s="25" t="s">
        <v>19</v>
      </c>
      <c r="G110" s="32" t="s">
        <v>36</v>
      </c>
      <c r="H110" s="14">
        <v>46132</v>
      </c>
      <c r="I110" s="14">
        <v>46133</v>
      </c>
      <c r="J110" s="14"/>
      <c r="K110" s="17">
        <f t="shared" ca="1" si="12"/>
        <v>7</v>
      </c>
      <c r="L110" s="10" t="str">
        <f t="shared" ca="1" si="7"/>
        <v>NO PRAZO</v>
      </c>
      <c r="M110" s="25"/>
      <c r="N110" s="25" t="s">
        <v>106</v>
      </c>
    </row>
    <row r="111" spans="2:14" ht="15.6" x14ac:dyDescent="0.3">
      <c r="B111" s="26" t="s">
        <v>15</v>
      </c>
      <c r="C111" s="3" t="s">
        <v>22</v>
      </c>
      <c r="D111" s="28" t="s">
        <v>105</v>
      </c>
      <c r="E111" s="28" t="s">
        <v>18</v>
      </c>
      <c r="F111" s="29" t="s">
        <v>19</v>
      </c>
      <c r="G111" s="28" t="s">
        <v>36</v>
      </c>
      <c r="H111" s="30">
        <v>46134</v>
      </c>
      <c r="I111" s="30">
        <v>46136</v>
      </c>
      <c r="J111" s="14"/>
      <c r="K111" s="17">
        <f t="shared" ca="1" si="12"/>
        <v>10</v>
      </c>
      <c r="L111" s="10" t="str">
        <f t="shared" ca="1" si="7"/>
        <v>NO PRAZO</v>
      </c>
      <c r="M111" s="11">
        <f ca="1">IF(L111="CONCLUÍDO",2,IF(L111="NO PRAZO",3,IF(L111="ENTREGA IMEDIATA",1,IF(L111="ATRASADO",0))))</f>
        <v>3</v>
      </c>
      <c r="N111" s="3" t="s">
        <v>106</v>
      </c>
    </row>
    <row r="112" spans="2:14" ht="15.6" x14ac:dyDescent="0.3">
      <c r="B112" s="26" t="s">
        <v>15</v>
      </c>
      <c r="C112" s="3" t="s">
        <v>44</v>
      </c>
      <c r="D112" s="28" t="s">
        <v>105</v>
      </c>
      <c r="E112" s="28" t="s">
        <v>18</v>
      </c>
      <c r="F112" s="29" t="s">
        <v>25</v>
      </c>
      <c r="G112" s="28" t="s">
        <v>36</v>
      </c>
      <c r="H112" s="30">
        <v>46136</v>
      </c>
      <c r="I112" s="30">
        <v>46139</v>
      </c>
      <c r="K112" s="17">
        <f t="shared" ca="1" si="12"/>
        <v>13</v>
      </c>
      <c r="L112" s="10" t="str">
        <f t="shared" ca="1" si="7"/>
        <v>NO PRAZO</v>
      </c>
      <c r="M112" s="11">
        <f ca="1">IF(L112="CONCLUÍDO",2,IF(L112="NO PRAZO",3,IF(L112="ENTREGA IMEDIATA",1,IF(L112="ATRASADO",0))))</f>
        <v>3</v>
      </c>
      <c r="N112" s="3" t="s">
        <v>107</v>
      </c>
    </row>
    <row r="113" spans="2:14" x14ac:dyDescent="0.3">
      <c r="B113" t="s">
        <v>46</v>
      </c>
      <c r="C113" t="s">
        <v>50</v>
      </c>
      <c r="D113" t="s">
        <v>17</v>
      </c>
      <c r="E113" t="s">
        <v>48</v>
      </c>
      <c r="F113" t="s">
        <v>19</v>
      </c>
      <c r="G113" s="33" t="s">
        <v>36</v>
      </c>
      <c r="H113" s="24">
        <v>46122</v>
      </c>
      <c r="I113" s="24">
        <v>46123</v>
      </c>
      <c r="K113" s="9">
        <f t="shared" ca="1" si="12"/>
        <v>-3</v>
      </c>
      <c r="L113" s="10" t="str">
        <f t="shared" ca="1" si="7"/>
        <v>ATRASADO</v>
      </c>
      <c r="M113" t="s">
        <v>120</v>
      </c>
      <c r="N113" t="s">
        <v>106</v>
      </c>
    </row>
    <row r="114" spans="2:14" x14ac:dyDescent="0.3">
      <c r="B114" t="s">
        <v>46</v>
      </c>
      <c r="C114" t="s">
        <v>52</v>
      </c>
      <c r="D114" t="s">
        <v>17</v>
      </c>
      <c r="E114" t="s">
        <v>48</v>
      </c>
      <c r="F114" t="s">
        <v>19</v>
      </c>
      <c r="G114" s="33" t="s">
        <v>36</v>
      </c>
      <c r="H114" s="24">
        <v>46122</v>
      </c>
      <c r="I114" s="24">
        <v>46123</v>
      </c>
      <c r="K114" s="9">
        <f t="shared" ca="1" si="12"/>
        <v>-3</v>
      </c>
      <c r="L114" s="10" t="str">
        <f t="shared" ca="1" si="7"/>
        <v>ATRASADO</v>
      </c>
      <c r="M114" t="s">
        <v>120</v>
      </c>
      <c r="N114" t="s">
        <v>106</v>
      </c>
    </row>
    <row r="115" spans="2:14" x14ac:dyDescent="0.3">
      <c r="B115" t="s">
        <v>62</v>
      </c>
      <c r="C115" t="s">
        <v>68</v>
      </c>
      <c r="D115" t="s">
        <v>17</v>
      </c>
      <c r="E115" t="s">
        <v>64</v>
      </c>
      <c r="F115" t="s">
        <v>19</v>
      </c>
      <c r="G115" s="33" t="s">
        <v>36</v>
      </c>
      <c r="H115" s="24">
        <v>46125</v>
      </c>
      <c r="I115" s="24">
        <v>46129</v>
      </c>
      <c r="K115" s="9">
        <f t="shared" ca="1" si="12"/>
        <v>3</v>
      </c>
      <c r="L115" s="10" t="str">
        <f t="shared" ca="1" si="7"/>
        <v>NO PRAZO</v>
      </c>
      <c r="M115" t="s">
        <v>120</v>
      </c>
      <c r="N115" t="s">
        <v>106</v>
      </c>
    </row>
    <row r="116" spans="2:14" x14ac:dyDescent="0.3">
      <c r="B116" t="s">
        <v>62</v>
      </c>
      <c r="C116" t="s">
        <v>114</v>
      </c>
      <c r="D116" t="s">
        <v>17</v>
      </c>
      <c r="E116" t="s">
        <v>64</v>
      </c>
      <c r="F116" t="s">
        <v>19</v>
      </c>
      <c r="G116" s="33" t="s">
        <v>36</v>
      </c>
      <c r="H116" s="24">
        <v>46121</v>
      </c>
      <c r="I116" s="24">
        <v>46122</v>
      </c>
      <c r="K116" s="17">
        <f t="shared" ca="1" si="12"/>
        <v>-4</v>
      </c>
      <c r="L116" s="10" t="str">
        <f t="shared" ca="1" si="7"/>
        <v>ATRASADO</v>
      </c>
      <c r="M116" t="s">
        <v>120</v>
      </c>
      <c r="N116" t="s">
        <v>106</v>
      </c>
    </row>
    <row r="117" spans="2:14" x14ac:dyDescent="0.3">
      <c r="B117" t="s">
        <v>62</v>
      </c>
      <c r="C117" t="s">
        <v>72</v>
      </c>
      <c r="D117" t="s">
        <v>17</v>
      </c>
      <c r="E117" t="s">
        <v>64</v>
      </c>
      <c r="F117" t="s">
        <v>25</v>
      </c>
      <c r="G117" s="33" t="s">
        <v>36</v>
      </c>
      <c r="H117" s="24">
        <v>46128</v>
      </c>
      <c r="I117" s="24">
        <v>46135</v>
      </c>
      <c r="K117" s="9">
        <f t="shared" ca="1" si="12"/>
        <v>9</v>
      </c>
      <c r="L117" s="10" t="str">
        <f t="shared" ca="1" si="7"/>
        <v>NO PRAZO</v>
      </c>
      <c r="M117" t="s">
        <v>120</v>
      </c>
      <c r="N117" t="s">
        <v>107</v>
      </c>
    </row>
    <row r="118" spans="2:14" x14ac:dyDescent="0.3">
      <c r="B118" t="s">
        <v>79</v>
      </c>
      <c r="C118" t="s">
        <v>80</v>
      </c>
      <c r="D118" t="s">
        <v>17</v>
      </c>
      <c r="E118" t="s">
        <v>81</v>
      </c>
      <c r="F118" t="s">
        <v>19</v>
      </c>
      <c r="G118" s="33" t="s">
        <v>36</v>
      </c>
      <c r="H118" s="14">
        <v>46121</v>
      </c>
      <c r="I118" s="14">
        <v>46122</v>
      </c>
      <c r="K118" s="9">
        <f t="shared" ca="1" si="12"/>
        <v>-4</v>
      </c>
      <c r="L118" s="10" t="str">
        <f t="shared" ca="1" si="7"/>
        <v>ATRASADO</v>
      </c>
      <c r="N118" t="s">
        <v>106</v>
      </c>
    </row>
    <row r="119" spans="2:14" x14ac:dyDescent="0.3">
      <c r="B119" t="s">
        <v>79</v>
      </c>
      <c r="C119" t="s">
        <v>87</v>
      </c>
      <c r="D119" t="s">
        <v>17</v>
      </c>
      <c r="E119" t="s">
        <v>81</v>
      </c>
      <c r="F119" t="s">
        <v>25</v>
      </c>
      <c r="G119" s="33" t="s">
        <v>36</v>
      </c>
      <c r="H119" s="14">
        <v>46122</v>
      </c>
      <c r="I119" s="14">
        <v>46122</v>
      </c>
      <c r="K119" s="17">
        <f t="shared" ca="1" si="12"/>
        <v>-4</v>
      </c>
      <c r="L119" s="10" t="str">
        <f t="shared" ca="1" si="7"/>
        <v>ATRASADO</v>
      </c>
      <c r="M119" t="s">
        <v>120</v>
      </c>
      <c r="N119" t="s">
        <v>107</v>
      </c>
    </row>
    <row r="120" spans="2:14" x14ac:dyDescent="0.3">
      <c r="B120" t="s">
        <v>79</v>
      </c>
      <c r="C120" t="s">
        <v>92</v>
      </c>
      <c r="D120" t="s">
        <v>17</v>
      </c>
      <c r="E120" t="s">
        <v>81</v>
      </c>
      <c r="F120" t="s">
        <v>25</v>
      </c>
      <c r="G120" s="33" t="s">
        <v>36</v>
      </c>
      <c r="H120" s="14">
        <v>46128</v>
      </c>
      <c r="I120" s="14">
        <v>46128</v>
      </c>
      <c r="K120" s="17">
        <f t="shared" ca="1" si="12"/>
        <v>2</v>
      </c>
      <c r="L120" s="10" t="str">
        <f t="shared" ca="1" si="7"/>
        <v>NO PRAZO</v>
      </c>
      <c r="M120" t="s">
        <v>120</v>
      </c>
      <c r="N120" t="s">
        <v>107</v>
      </c>
    </row>
    <row r="121" spans="2:14" x14ac:dyDescent="0.3">
      <c r="B121" t="s">
        <v>79</v>
      </c>
      <c r="C121" t="s">
        <v>95</v>
      </c>
      <c r="D121" t="s">
        <v>17</v>
      </c>
      <c r="E121" t="s">
        <v>81</v>
      </c>
      <c r="F121" t="s">
        <v>25</v>
      </c>
      <c r="G121" s="33" t="s">
        <v>36</v>
      </c>
      <c r="H121" s="14">
        <v>46131</v>
      </c>
      <c r="I121" s="14">
        <v>46138</v>
      </c>
      <c r="K121" s="17">
        <f t="shared" ca="1" si="12"/>
        <v>12</v>
      </c>
      <c r="L121" s="10" t="str">
        <f t="shared" ca="1" si="7"/>
        <v>NO PRAZO</v>
      </c>
      <c r="M121" t="s">
        <v>120</v>
      </c>
      <c r="N121" t="s">
        <v>107</v>
      </c>
    </row>
    <row r="122" spans="2:14" x14ac:dyDescent="0.3">
      <c r="B122" t="s">
        <v>79</v>
      </c>
      <c r="C122" t="s">
        <v>119</v>
      </c>
      <c r="D122" t="s">
        <v>17</v>
      </c>
      <c r="E122" t="s">
        <v>81</v>
      </c>
      <c r="F122" t="s">
        <v>25</v>
      </c>
      <c r="G122" s="33" t="s">
        <v>36</v>
      </c>
      <c r="H122" s="14">
        <v>46139</v>
      </c>
      <c r="I122" s="14">
        <v>46139</v>
      </c>
      <c r="K122" s="17">
        <f t="shared" ca="1" si="12"/>
        <v>13</v>
      </c>
      <c r="L122" s="10" t="str">
        <f t="shared" ca="1" si="7"/>
        <v>NO PRAZO</v>
      </c>
      <c r="M122" t="s">
        <v>120</v>
      </c>
      <c r="N122" t="s">
        <v>107</v>
      </c>
    </row>
    <row r="123" spans="2:14" x14ac:dyDescent="0.3">
      <c r="B123" t="s">
        <v>79</v>
      </c>
      <c r="C123" t="s">
        <v>99</v>
      </c>
      <c r="D123" t="s">
        <v>17</v>
      </c>
      <c r="E123" t="s">
        <v>81</v>
      </c>
      <c r="F123" t="s">
        <v>25</v>
      </c>
      <c r="G123" s="33" t="s">
        <v>36</v>
      </c>
      <c r="H123" s="14">
        <v>46139</v>
      </c>
      <c r="I123" s="14">
        <v>46139</v>
      </c>
      <c r="K123" s="17">
        <f t="shared" ca="1" si="12"/>
        <v>13</v>
      </c>
      <c r="L123" s="10" t="str">
        <f t="shared" ca="1" si="7"/>
        <v>NO PRAZO</v>
      </c>
      <c r="M123" t="s">
        <v>120</v>
      </c>
      <c r="N123" t="s">
        <v>107</v>
      </c>
    </row>
    <row r="124" spans="2:14" ht="15.6" x14ac:dyDescent="0.3">
      <c r="B124" s="26" t="s">
        <v>15</v>
      </c>
      <c r="C124" s="3" t="s">
        <v>22</v>
      </c>
      <c r="D124" s="28" t="s">
        <v>105</v>
      </c>
      <c r="E124" s="28" t="s">
        <v>18</v>
      </c>
      <c r="F124" s="29" t="s">
        <v>19</v>
      </c>
      <c r="G124" s="28" t="s">
        <v>36</v>
      </c>
      <c r="H124" s="14">
        <v>46141</v>
      </c>
      <c r="I124" s="14">
        <v>46142</v>
      </c>
      <c r="J124" s="14"/>
      <c r="K124" s="9">
        <f t="shared" ca="1" si="12"/>
        <v>16</v>
      </c>
      <c r="L124" s="10" t="str">
        <f t="shared" ca="1" si="7"/>
        <v>NO PRAZO</v>
      </c>
      <c r="M124" s="11">
        <f ca="1">IF(L124="CONCLUÍDO",2,IF(L124="NO PRAZO",3,IF(L124="ENTREGA IMEDIATA",1,IF(L124="ATRASADO",0))))</f>
        <v>3</v>
      </c>
      <c r="N124" s="3" t="s">
        <v>106</v>
      </c>
    </row>
    <row r="125" spans="2:14" x14ac:dyDescent="0.3">
      <c r="B125" t="s">
        <v>79</v>
      </c>
      <c r="C125" t="s">
        <v>83</v>
      </c>
      <c r="D125" t="s">
        <v>105</v>
      </c>
      <c r="E125" t="s">
        <v>81</v>
      </c>
      <c r="F125" t="s">
        <v>25</v>
      </c>
      <c r="G125" s="33" t="s">
        <v>36</v>
      </c>
      <c r="H125" s="14">
        <v>46144</v>
      </c>
      <c r="I125" s="14">
        <v>46148</v>
      </c>
      <c r="K125" s="9">
        <f t="shared" ca="1" si="12"/>
        <v>22</v>
      </c>
      <c r="L125" s="10" t="str">
        <f t="shared" ca="1" si="7"/>
        <v>NO PRAZO</v>
      </c>
      <c r="M125" t="s">
        <v>120</v>
      </c>
      <c r="N125" t="s">
        <v>107</v>
      </c>
    </row>
    <row r="126" spans="2:14" ht="15.6" x14ac:dyDescent="0.3">
      <c r="B126" s="19" t="s">
        <v>15</v>
      </c>
      <c r="C126" t="s">
        <v>103</v>
      </c>
      <c r="D126" t="s">
        <v>105</v>
      </c>
      <c r="E126" t="s">
        <v>18</v>
      </c>
      <c r="F126" t="s">
        <v>25</v>
      </c>
      <c r="G126" s="33" t="s">
        <v>36</v>
      </c>
      <c r="H126" s="14">
        <v>46144</v>
      </c>
      <c r="I126" s="14">
        <v>46145</v>
      </c>
      <c r="J126" s="14"/>
      <c r="K126" s="9">
        <f t="shared" ca="1" si="12"/>
        <v>19</v>
      </c>
      <c r="L126" s="10" t="str">
        <f t="shared" ca="1" si="7"/>
        <v>NO PRAZO</v>
      </c>
      <c r="N126" t="s">
        <v>107</v>
      </c>
    </row>
    <row r="127" spans="2:14" ht="15.6" x14ac:dyDescent="0.3">
      <c r="B127" s="26" t="s">
        <v>15</v>
      </c>
      <c r="C127" s="3" t="s">
        <v>37</v>
      </c>
      <c r="D127" s="28" t="s">
        <v>105</v>
      </c>
      <c r="E127" s="28" t="s">
        <v>18</v>
      </c>
      <c r="F127" s="29" t="s">
        <v>38</v>
      </c>
      <c r="G127" s="28" t="s">
        <v>36</v>
      </c>
      <c r="H127" s="30">
        <v>46267</v>
      </c>
      <c r="I127" s="30">
        <v>46285</v>
      </c>
      <c r="J127" s="14"/>
      <c r="K127" s="9">
        <f t="shared" ca="1" si="12"/>
        <v>159</v>
      </c>
      <c r="L127" s="10" t="str">
        <f t="shared" ca="1" si="7"/>
        <v>NO PRAZO</v>
      </c>
      <c r="M127" s="31">
        <f ca="1">IF(L127="CONCLUÍDO",2,IF(L127="NO PRAZO",3,IF(L127="ENTREGA IMEDIATA",1,IF(L127="ATRASADO",0))))</f>
        <v>3</v>
      </c>
      <c r="N127" s="3" t="s">
        <v>110</v>
      </c>
    </row>
    <row r="128" spans="2:14" ht="15.6" x14ac:dyDescent="0.3">
      <c r="B128" s="26" t="s">
        <v>15</v>
      </c>
      <c r="C128" s="27" t="s">
        <v>33</v>
      </c>
      <c r="D128" s="28" t="s">
        <v>17</v>
      </c>
      <c r="E128" s="28" t="s">
        <v>18</v>
      </c>
      <c r="F128" s="29" t="s">
        <v>19</v>
      </c>
      <c r="G128" s="28" t="s">
        <v>34</v>
      </c>
      <c r="H128" s="14"/>
      <c r="I128" s="14"/>
      <c r="J128" s="14"/>
      <c r="K128" s="17" t="str">
        <f t="shared" ca="1" si="12"/>
        <v>-</v>
      </c>
      <c r="L128" s="10" t="str">
        <f t="shared" ca="1" si="7"/>
        <v>TBD</v>
      </c>
      <c r="M128" s="31" t="b">
        <f ca="1">IF(L128="CONCLUÍDO",2,IF(L128="NO PRAZO",3,IF(L128="ENTREGA IMEDIATA",1,IF(L128="ATRASADO",0))))</f>
        <v>0</v>
      </c>
      <c r="N128" s="3" t="s">
        <v>35</v>
      </c>
    </row>
    <row r="129" spans="2:14" x14ac:dyDescent="0.3">
      <c r="B129" t="s">
        <v>62</v>
      </c>
      <c r="C129" t="s">
        <v>63</v>
      </c>
      <c r="D129" t="s">
        <v>105</v>
      </c>
      <c r="E129" t="s">
        <v>64</v>
      </c>
      <c r="F129" t="s">
        <v>25</v>
      </c>
      <c r="G129" s="33" t="s">
        <v>36</v>
      </c>
      <c r="H129" s="24">
        <v>46143</v>
      </c>
      <c r="I129" s="24">
        <v>46149</v>
      </c>
      <c r="K129" s="9">
        <f t="shared" ca="1" si="12"/>
        <v>23</v>
      </c>
      <c r="L129" s="10" t="str">
        <f t="shared" ca="1" si="7"/>
        <v>NO PRAZO</v>
      </c>
      <c r="M129"/>
      <c r="N129" t="s">
        <v>107</v>
      </c>
    </row>
    <row r="130" spans="2:14" x14ac:dyDescent="0.3">
      <c r="B130" t="s">
        <v>62</v>
      </c>
      <c r="C130" t="s">
        <v>66</v>
      </c>
      <c r="D130" t="s">
        <v>105</v>
      </c>
      <c r="E130" t="s">
        <v>64</v>
      </c>
      <c r="F130" t="s">
        <v>25</v>
      </c>
      <c r="G130" s="33" t="s">
        <v>36</v>
      </c>
      <c r="H130" s="24">
        <v>46143</v>
      </c>
      <c r="I130" s="24">
        <v>46149</v>
      </c>
      <c r="K130" s="9">
        <f t="shared" ca="1" si="12"/>
        <v>23</v>
      </c>
      <c r="L130" s="10" t="str">
        <f t="shared" ca="1" si="7"/>
        <v>NO PRAZO</v>
      </c>
      <c r="M130"/>
      <c r="N130" t="s">
        <v>107</v>
      </c>
    </row>
    <row r="131" spans="2:14" x14ac:dyDescent="0.3">
      <c r="B131" s="12" t="s">
        <v>121</v>
      </c>
      <c r="C131" s="12" t="s">
        <v>122</v>
      </c>
      <c r="D131" s="12" t="s">
        <v>105</v>
      </c>
      <c r="E131" s="12" t="s">
        <v>123</v>
      </c>
      <c r="F131" s="12" t="s">
        <v>25</v>
      </c>
      <c r="G131" s="12" t="s">
        <v>112</v>
      </c>
      <c r="H131" s="14">
        <v>46113</v>
      </c>
      <c r="I131" s="14">
        <v>46127</v>
      </c>
      <c r="K131" s="17">
        <f t="shared" ca="1" si="12"/>
        <v>1</v>
      </c>
      <c r="L131" s="10" t="str">
        <f t="shared" ca="1" si="7"/>
        <v>NO PRAZO</v>
      </c>
    </row>
  </sheetData>
  <autoFilter ref="B4:N131" xr:uid="{00000000-0009-0000-0000-000000000000}"/>
  <conditionalFormatting sqref="K5:K1048576">
    <cfRule type="cellIs" dxfId="9" priority="19" operator="lessThanOrEqual">
      <formula>0</formula>
    </cfRule>
  </conditionalFormatting>
  <conditionalFormatting sqref="L1:L1048576">
    <cfRule type="cellIs" dxfId="8" priority="25" operator="equal">
      <formula>"CONCLUÍDO"</formula>
    </cfRule>
    <cfRule type="cellIs" dxfId="7" priority="26" operator="equal">
      <formula>"ENTREGA IMEDIATA"</formula>
    </cfRule>
    <cfRule type="cellIs" dxfId="6" priority="27" operator="equal">
      <formula>"NO PRAZO"</formula>
    </cfRule>
    <cfRule type="cellIs" dxfId="5" priority="28" operator="equal">
      <formula>"ATRASADO"</formula>
    </cfRule>
  </conditionalFormatting>
  <conditionalFormatting sqref="L5:L131">
    <cfRule type="containsText" dxfId="4" priority="29" operator="containsText" text="CONCLUÍDO COM ATRASO">
      <formula>NOT(ISERROR(SEARCH("CONCLUÍDO COM ATRASO",L5)))</formula>
    </cfRule>
  </conditionalFormatting>
  <conditionalFormatting sqref="M4">
    <cfRule type="cellIs" dxfId="3" priority="20" operator="equal">
      <formula>"CONCLUÍDO"</formula>
    </cfRule>
    <cfRule type="cellIs" dxfId="2" priority="21" operator="equal">
      <formula>"ENTREGA IMEDIATA"</formula>
    </cfRule>
    <cfRule type="cellIs" dxfId="1" priority="22" operator="equal">
      <formula>"NO PRAZO"</formula>
    </cfRule>
    <cfRule type="cellIs" dxfId="0" priority="23" operator="equal">
      <formula>"ATRASADO"</formula>
    </cfRule>
  </conditionalFormatting>
  <dataValidations count="1">
    <dataValidation type="list" allowBlank="1" showInputMessage="1" showErrorMessage="1" sqref="G5:G57 G63:G64" xr:uid="{00000000-0002-0000-0000-000000000000}">
      <formula1>"-,NÃO INCIADO,EM ANDAMENTO,FINALIZADO,ATRASADO,NÃO SE APLICA"</formula1>
    </dataValidation>
  </dataValidations>
  <pageMargins left="0.511811024" right="0.511811024" top="0.78740157499999996" bottom="0.78740157499999996" header="0.31496062000000002" footer="0.31496062000000002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69c21a7-acf8-4fa1-a5df-4dc7c803cbc8">
      <Terms xmlns="http://schemas.microsoft.com/office/infopath/2007/PartnerControls"/>
    </lcf76f155ced4ddcb4097134ff3c332f>
    <TaxCatchAll xmlns="d337ff45-b2f2-4aee-a0da-7b5a3bfb7c3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0248C8800EF904C9DD7E4C547A51745" ma:contentTypeVersion="16" ma:contentTypeDescription="Crie um novo documento." ma:contentTypeScope="" ma:versionID="99cce447bb6f5efd32e9ce5f489bef41">
  <xsd:schema xmlns:xsd="http://www.w3.org/2001/XMLSchema" xmlns:xs="http://www.w3.org/2001/XMLSchema" xmlns:p="http://schemas.microsoft.com/office/2006/metadata/properties" xmlns:ns2="e69c21a7-acf8-4fa1-a5df-4dc7c803cbc8" xmlns:ns3="d337ff45-b2f2-4aee-a0da-7b5a3bfb7c3d" targetNamespace="http://schemas.microsoft.com/office/2006/metadata/properties" ma:root="true" ma:fieldsID="4a9ec8dda6a39005fb0ea9e750809ba0" ns2:_="" ns3:_="">
    <xsd:import namespace="e69c21a7-acf8-4fa1-a5df-4dc7c803cbc8"/>
    <xsd:import namespace="d337ff45-b2f2-4aee-a0da-7b5a3bfb7c3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9c21a7-acf8-4fa1-a5df-4dc7c803cb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c439128c-c625-426f-be90-7679ad9b1d1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337ff45-b2f2-4aee-a0da-7b5a3bfb7c3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b5327e13-60cb-47fb-8084-36787ce41987}" ma:internalName="TaxCatchAll" ma:showField="CatchAllData" ma:web="d337ff45-b2f2-4aee-a0da-7b5a3bfb7c3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02CD473-1648-4533-B420-5E797510B942}">
  <ds:schemaRefs>
    <ds:schemaRef ds:uri="http://schemas.microsoft.com/office/2006/metadata/properties"/>
    <ds:schemaRef ds:uri="http://schemas.microsoft.com/office/infopath/2007/PartnerControls"/>
    <ds:schemaRef ds:uri="e69c21a7-acf8-4fa1-a5df-4dc7c803cbc8"/>
    <ds:schemaRef ds:uri="d337ff45-b2f2-4aee-a0da-7b5a3bfb7c3d"/>
  </ds:schemaRefs>
</ds:datastoreItem>
</file>

<file path=customXml/itemProps2.xml><?xml version="1.0" encoding="utf-8"?>
<ds:datastoreItem xmlns:ds="http://schemas.openxmlformats.org/officeDocument/2006/customXml" ds:itemID="{E1028949-EE1A-4F1F-911B-CF4FCBC02C5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69c21a7-acf8-4fa1-a5df-4dc7c803cbc8"/>
    <ds:schemaRef ds:uri="d337ff45-b2f2-4aee-a0da-7b5a3bfb7c3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FDD1B86-5911-41B0-8D75-D9EF5D75966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PMO - PROJETO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Lilian Basaia da Silva</cp:lastModifiedBy>
  <dcterms:created xsi:type="dcterms:W3CDTF">2021-12-14T20:18:50Z</dcterms:created>
  <dcterms:modified xsi:type="dcterms:W3CDTF">2026-04-14T12:23:41Z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0x010100C0248C8800EF904C9DD7E4C547A51745</vt:lpwstr>
  </property>
  <property fmtid="{D5CDD505-2E9C-101B-9397-08002B2CF9AE}" pid="3" name="MediaServiceImageTags">
    <vt:lpwstr/>
  </property>
</Properties>
</file>